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a35809913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执行报告" sheetId="1" r:id="R0b7ad8e3b4db4b7d"/>
    <x:sheet xmlns:r="http://schemas.openxmlformats.org/officeDocument/2006/relationships" name="测试用例" sheetId="2" r:id="R76788e0bf66340b0"/>
    <x:sheet xmlns:r="http://schemas.openxmlformats.org/officeDocument/2006/relationships" name="测试记录" sheetId="3" r:id="R9e1abb61f3f0407a"/>
    <x:sheet xmlns:r="http://schemas.openxmlformats.org/officeDocument/2006/relationships" name="测试方法" sheetId="4" r:id="R4b315d49ea34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%"/>
  </x:numFmts>
  <x:fonts count="7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202A33"/>
      <x:name val="Microsoft YaHei"/>
    </x:font>
    <x:font>
      <x:sz val="10"/>
      <x:color rgb="FF202A33"/>
      <x:name val="Microsoft YaHei"/>
    </x:font>
    <x:font>
      <x:b/>
      <x:sz val="11"/>
      <x:color rgb="FF202A33"/>
      <x:name val="Microsoft YaHei"/>
    </x:font>
    <x:font>
      <x:b/>
      <x:sz val="9"/>
      <x:color rgb="FFFFFFFF"/>
      <x:name val="Microsoft YaHei"/>
    </x:font>
    <x:font>
      <x:sz val="10"/>
      <x:color rgb="FF5F6B76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566B"/>
      </x:patternFill>
    </x:fill>
    <x:fill>
      <x:patternFill patternType="solid">
        <x:fgColor rgb="FFDFF3EF"/>
      </x:patternFill>
    </x:fill>
    <x:fill>
      <x:patternFill patternType="solid">
        <x:fgColor rgb="FFE8F1FB"/>
      </x:patternFill>
    </x:fill>
    <x:fill>
      <x:patternFill patternType="solid">
        <x:fgColor rgb="FFF3F6F8"/>
      </x:patternFill>
    </x:fill>
    <x:fill>
      <x:patternFill patternType="solid">
        <x:fgColor rgb="FFFFF4CC"/>
      </x:patternFill>
    </x:fill>
  </x:fills>
  <x:borders count="13">
    <x:border/>
    <x:border>
      <x:left style="thin">
        <x:color rgb="FFCBD6DC"/>
      </x:left>
      <x:right style="thin">
        <x:color rgb="FFCBD6DC"/>
      </x:right>
      <x:top style="thin">
        <x:color rgb="FFCBD6DC"/>
      </x:top>
      <x:bottom style="thin">
        <x:color rgb="FFCBD6DC"/>
      </x:bottom>
    </x:border>
    <x:border>
      <x:left style="thin">
        <x:color rgb="FFD5A72C"/>
      </x:left>
      <x:top style="thin">
        <x:color rgb="FFD5A72C"/>
      </x:top>
    </x:border>
    <x:border>
      <x:top style="thin">
        <x:color rgb="FFD5A72C"/>
      </x:top>
    </x:border>
    <x:border>
      <x:right style="thin">
        <x:color rgb="FFD5A72C"/>
      </x:right>
      <x:top style="thin">
        <x:color rgb="FFD5A72C"/>
      </x:top>
    </x:border>
    <x:border>
      <x:left style="thin">
        <x:color rgb="FFD5A72C"/>
      </x:left>
    </x:border>
    <x:border>
      <x:right style="thin">
        <x:color rgb="FFD5A72C"/>
      </x:right>
    </x:border>
    <x:border>
      <x:left style="thin">
        <x:color rgb="FFD5A72C"/>
      </x:left>
      <x:bottom style="thin">
        <x:color rgb="FFD5A72C"/>
      </x:bottom>
    </x:border>
    <x:border>
      <x:bottom style="thin">
        <x:color rgb="FFD5A72C"/>
      </x:bottom>
    </x:border>
    <x:border>
      <x:right style="thin">
        <x:color rgb="FFD5A72C"/>
      </x:right>
      <x:bottom style="thin">
        <x:color rgb="FFD5A72C"/>
      </x:bottom>
    </x:border>
    <x:border>
      <x:bottom style="thin">
        <x:color rgb="FFCBD6DC"/>
      </x:bottom>
    </x:border>
    <x:border>
      <x:top style="thin">
        <x:color rgb="FFCBD6DC"/>
      </x:top>
      <x:bottom style="thin">
        <x:color rgb="FFCBD6DC"/>
      </x:bottom>
    </x:border>
    <x:border>
      <x:top style="thin">
        <x:color rgb="FFCBD6DC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0" fontId="3" fillId="6" borderId="8" xfId="0" applyNumberFormat="1" applyFont="1" applyFill="1" applyBorder="1" applyAlignment="1">
      <x:alignment vertical="center" wrapText="1"/>
    </x:xf>
    <x:xf numFmtId="0" fontId="3" fillId="6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DE8E7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7c0e106494927" /><Relationship Type="http://schemas.openxmlformats.org/officeDocument/2006/relationships/theme" Target="/xl/theme/theme1.xml" Id="R5968df2c3a15498b" /><Relationship Type="http://schemas.openxmlformats.org/officeDocument/2006/relationships/sharedStrings" Target="/xl/sharedStrings.xml" Id="Rc19d43c06b284ca7" /><Relationship Type="http://schemas.openxmlformats.org/officeDocument/2006/relationships/worksheet" Target="/xl/worksheets/sheet1.xml" Id="R0b7ad8e3b4db4b7d" /><Relationship Type="http://schemas.openxmlformats.org/officeDocument/2006/relationships/worksheet" Target="/xl/worksheets/sheet2.xml" Id="R76788e0bf66340b0" /><Relationship Type="http://schemas.openxmlformats.org/officeDocument/2006/relationships/worksheet" Target="/xl/worksheets/sheet3.xml" Id="R9e1abb61f3f0407a" /><Relationship Type="http://schemas.openxmlformats.org/officeDocument/2006/relationships/worksheet" Target="/xl/worksheets/sheet4.xml" Id="R4b315d49ea34449c" /></Relationships>
</file>

<file path=xl/tables/table1.xml><?xml version="1.0" encoding="utf-8"?>
<x:table xmlns:x="http://schemas.openxmlformats.org/spreadsheetml/2006/main" id="1" name="IssueScopeTestCases" displayName="IssueScopeTestCases" ref="A4:M41" headerRowCount="1" totalsRowCount="0" totalsRowShown="0">
  <x:tableColumns count="13">
    <x:tableColumn id="1" name="编号"/>
    <x:tableColumn id="2" name="测试模块"/>
    <x:tableColumn id="3" name="测试类型"/>
    <x:tableColumn id="4" name="测试标题"/>
    <x:tableColumn id="5" name="流程"/>
    <x:tableColumn id="6" name="优先级"/>
    <x:tableColumn id="7" name="前置条件"/>
    <x:tableColumn id="8" name="输入与操作"/>
    <x:tableColumn id="9" name="预期结果"/>
    <x:tableColumn id="10" name="实际结果"/>
    <x:tableColumn id="11" name="状态"/>
    <x:tableColumn id="12" name="缺陷等级"/>
    <x:tableColumn id="13" name="备注/执行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614f9e92843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B1" s="4" t="str">
        <x:v>IssueScope 系统测试用例</x:v>
      </x:c>
      <x:c r="C1" s="4" t="str">
        <x:v>IssueScope 系统测试用例</x:v>
      </x:c>
      <x:c r="D1" s="4" t="str">
        <x:v>IssueScope 系统测试用例</x:v>
      </x:c>
      <x:c r="E1" s="4" t="str">
        <x:v>IssueScope 系统测试用例</x:v>
      </x:c>
      <x:c r="F1" s="4" t="str">
        <x:v>IssueScope 系统测试用例</x:v>
      </x:c>
      <x:c r="G1" s="4" t="str">
        <x:v>IssueScope 系统测试用例</x:v>
      </x:c>
      <x:c r="H1" s="4" t="str">
        <x:v>IssueScope 系统测试用例</x:v>
      </x:c>
    </x:row>
    <x:row r="2" ht="34" customHeight="1">
      <x:c r="B2" s="4" t="str">
        <x:v>IssueScope 系统测试用例</x:v>
      </x:c>
      <x:c r="C2" s="4" t="str">
        <x:v>IssueScope 系统测试用例</x:v>
      </x:c>
      <x:c r="D2" s="4" t="str">
        <x:v>IssueScope 系统测试用例</x:v>
      </x:c>
      <x:c r="E2" s="4" t="str">
        <x:v>IssueScope 系统测试用例</x:v>
      </x:c>
      <x:c r="F2" s="4" t="str">
        <x:v>IssueScope 系统测试用例</x:v>
      </x:c>
      <x:c r="G2" s="4" t="str">
        <x:v>IssueScope 系统测试用例</x:v>
      </x:c>
      <x:c r="H2" s="4" t="str">
        <x:v>IssueScope 系统测试用例</x:v>
      </x:c>
    </x:row>
    <x:row r="3" ht="22" customHeight="1">
      <x:c r="B3" s="8" t="str">
        <x:v>项目名称</x:v>
      </x:c>
      <x:c r="C3" s="12" t="str">
        <x:v>IssueScope - GitHub仓库问答与Issue分析系统</x:v>
      </x:c>
      <x:c r="D3" s="12"/>
      <x:c r="E3" s="12"/>
      <x:c r="F3" s="12"/>
      <x:c r="G3" s="12"/>
      <x:c r="H3" s="12"/>
    </x:row>
    <x:row r="4" ht="22" customHeight="1">
      <x:c r="B4" s="8" t="str">
        <x:v>项目编号</x:v>
      </x:c>
      <x:c r="C4" s="12" t="str">
        <x:v>A8 / 第6组</x:v>
      </x:c>
      <x:c r="D4" s="12"/>
      <x:c r="E4" s="12"/>
      <x:c r="F4" s="12"/>
      <x:c r="G4" s="12"/>
      <x:c r="H4" s="12"/>
    </x:row>
    <x:row r="5" ht="22" customHeight="1">
      <x:c r="B5" s="8" t="str">
        <x:v>文档版本</x:v>
      </x:c>
      <x:c r="C5" s="14" t="n">
        <x:v>1</x:v>
      </x:c>
      <x:c r="D5" s="12"/>
      <x:c r="E5" s="12"/>
      <x:c r="F5" s="12"/>
      <x:c r="G5" s="12"/>
      <x:c r="H5" s="12"/>
    </x:row>
    <x:row r="6" ht="22" customHeight="1">
      <x:c r="B6" s="8" t="str">
        <x:v>编写日期</x:v>
      </x:c>
      <x:c r="C6" s="13" t="n">
        <x:v>46231</x:v>
      </x:c>
      <x:c r="D6" s="13"/>
      <x:c r="E6" s="13"/>
      <x:c r="F6" s="13"/>
      <x:c r="G6" s="13"/>
      <x:c r="H6" s="13"/>
    </x:row>
    <x:row r="7" ht="22" customHeight="1">
      <x:c r="B7" s="8" t="str">
        <x:v>测试范围</x:v>
      </x:c>
      <x:c r="C7" s="12" t="str">
        <x:v>功能、易用性、兼容性；性能测试作为补充</x:v>
      </x:c>
      <x:c r="D7" s="12"/>
      <x:c r="E7" s="12"/>
      <x:c r="F7" s="12"/>
      <x:c r="G7" s="12"/>
      <x:c r="H7" s="12"/>
    </x:row>
    <x:row r="8" ht="22" customHeight="1">
      <x:c r="B8" s="8" t="str">
        <x:v>测试环境</x:v>
      </x:c>
      <x:c r="C8" s="12" t="str">
        <x:v>macOS；Python 3.12；Node.js；Chrome、Safari、Edge/Firefox</x:v>
      </x:c>
      <x:c r="D8" s="12"/>
      <x:c r="E8" s="12"/>
      <x:c r="F8" s="12"/>
      <x:c r="G8" s="12"/>
      <x:c r="H8" s="12"/>
    </x:row>
    <x:row r="9" ht="22" customHeight="1"/>
    <x:row r="10" ht="22" customHeight="1">
      <x:c r="B10" s="17" t="str">
        <x:v>修订记录</x:v>
      </x:c>
      <x:c r="C10" s="17"/>
      <x:c r="D10" s="17"/>
      <x:c r="E10" s="17"/>
      <x:c r="F10" s="17"/>
      <x:c r="G10" s="17"/>
      <x:c r="H10" s="17"/>
    </x:row>
    <x:row r="11" ht="22" customHeight="1">
      <x:c r="B11" s="22" t="str">
        <x:v>日期</x:v>
      </x:c>
      <x:c r="C11" s="22" t="str">
        <x:v>版本</x:v>
      </x:c>
      <x:c r="D11" s="22" t="str">
        <x:v>修改说明</x:v>
      </x:c>
      <x:c r="E11" s="22" t="str">
        <x:v>编写人</x:v>
      </x:c>
    </x:row>
    <x:row r="12" ht="40" customHeight="1">
      <x:c r="B12" s="13" t="n">
        <x:v>46231</x:v>
      </x:c>
      <x:c r="C12" s="12" t="str">
        <x:v>1.0</x:v>
      </x:c>
      <x:c r="D12" s="12" t="str">
        <x:v>根据最新项目功能整理系统测试用例并记录自动检查结果</x:v>
      </x:c>
      <x:c r="E12" s="12" t="str">
        <x:v>第6组</x:v>
      </x:c>
    </x:row>
    <x:row r="13" ht="22" customHeight="1"/>
    <x:row r="14" ht="22" customHeight="1">
      <x:c r="B14" s="17" t="str">
        <x:v>测试结果汇总</x:v>
      </x:c>
      <x:c r="C14" s="17"/>
      <x:c r="D14" s="17"/>
      <x:c r="E14" s="17"/>
      <x:c r="F14" s="17"/>
      <x:c r="G14" s="17"/>
      <x:c r="H14" s="17"/>
    </x:row>
    <x:row r="15" ht="22" customHeight="1">
      <x:c r="B15" s="22" t="str">
        <x:v>类别</x:v>
      </x:c>
      <x:c r="C15" s="22" t="str">
        <x:v>用例数</x:v>
      </x:c>
      <x:c r="D15" s="22" t="str">
        <x:v>已执行</x:v>
      </x:c>
      <x:c r="E15" s="22" t="str">
        <x:v>通过</x:v>
      </x:c>
      <x:c r="F15" s="22" t="str">
        <x:v>未通过</x:v>
      </x:c>
      <x:c r="G15" s="22" t="str">
        <x:v>未执行</x:v>
      </x:c>
      <x:c r="H15" s="22" t="str">
        <x:v>通过率</x:v>
      </x:c>
    </x:row>
    <x:row r="16" ht="22" customHeight="1">
      <x:c r="B16" s="23" t="str">
        <x:v>功能测试</x:v>
      </x:c>
      <x:c r="C16" s="23" t="n">
        <x:f>COUNTIF('测试用例'!$C$5:$C$41,B16)</x:f>
        <x:v>26</x:v>
      </x:c>
      <x:c r="D16" s="23" t="n">
        <x:f>E16+F16</x:f>
        <x:v>26</x:v>
      </x:c>
      <x:c r="E16" s="23" t="n">
        <x:f>COUNTIFS('测试用例'!$C$5:$C$41,B16,'测试用例'!$K$5:$K$41,"通过")</x:f>
        <x:v>26</x:v>
      </x:c>
      <x:c r="F16" s="23" t="n">
        <x:f>COUNTIFS('测试用例'!$C$5:$C$41,B16,'测试用例'!$K$5:$K$41,"未通过")</x:f>
        <x:v>0</x:v>
      </x:c>
      <x:c r="G16" s="23" t="n">
        <x:f>C16-D16</x:f>
        <x:v>0</x:v>
      </x:c>
      <x:c r="H16" s="26" t="n">
        <x:f>IF(D16=0,0,E16/D16)</x:f>
        <x:v>1</x:v>
      </x:c>
    </x:row>
    <x:row r="17" ht="22" customHeight="1">
      <x:c r="B17" s="23" t="str">
        <x:v>易用性测试</x:v>
      </x:c>
      <x:c r="C17" s="23" t="n">
        <x:f>COUNTIF('测试用例'!$C$5:$C$41,B17)</x:f>
        <x:v>4</x:v>
      </x:c>
      <x:c r="D17" s="23" t="n">
        <x:f>E17+F17</x:f>
        <x:v>4</x:v>
      </x:c>
      <x:c r="E17" s="23" t="n">
        <x:f>COUNTIFS('测试用例'!$C$5:$C$41,B17,'测试用例'!$K$5:$K$41,"通过")</x:f>
        <x:v>4</x:v>
      </x:c>
      <x:c r="F17" s="23" t="n">
        <x:f>COUNTIFS('测试用例'!$C$5:$C$41,B17,'测试用例'!$K$5:$K$41,"未通过")</x:f>
        <x:v>0</x:v>
      </x:c>
      <x:c r="G17" s="23" t="n">
        <x:f>C17-D17</x:f>
        <x:v>0</x:v>
      </x:c>
      <x:c r="H17" s="26" t="n">
        <x:f>IF(D17=0,0,E17/D17)</x:f>
        <x:v>1</x:v>
      </x:c>
    </x:row>
    <x:row r="18" ht="22" customHeight="1">
      <x:c r="B18" s="23" t="str">
        <x:v>兼容性测试</x:v>
      </x:c>
      <x:c r="C18" s="23" t="n">
        <x:f>COUNTIF('测试用例'!$C$5:$C$41,B18)</x:f>
        <x:v>4</x:v>
      </x:c>
      <x:c r="D18" s="23" t="n">
        <x:f>E18+F18</x:f>
        <x:v>4</x:v>
      </x:c>
      <x:c r="E18" s="23" t="n">
        <x:f>COUNTIFS('测试用例'!$C$5:$C$41,B18,'测试用例'!$K$5:$K$41,"通过")</x:f>
        <x:v>4</x:v>
      </x:c>
      <x:c r="F18" s="23" t="n">
        <x:f>COUNTIFS('测试用例'!$C$5:$C$41,B18,'测试用例'!$K$5:$K$41,"未通过")</x:f>
        <x:v>0</x:v>
      </x:c>
      <x:c r="G18" s="23" t="n">
        <x:f>C18-D18</x:f>
        <x:v>0</x:v>
      </x:c>
      <x:c r="H18" s="26" t="n">
        <x:f>IF(D18=0,0,E18/D18)</x:f>
        <x:v>1</x:v>
      </x:c>
    </x:row>
    <x:row r="19" ht="22" customHeight="1">
      <x:c r="B19" s="23" t="str">
        <x:v>性能测试</x:v>
      </x:c>
      <x:c r="C19" s="23" t="n">
        <x:f>COUNTIF('测试用例'!$C$5:$C$41,B19)</x:f>
        <x:v>3</x:v>
      </x:c>
      <x:c r="D19" s="23" t="n">
        <x:f>E19+F19</x:f>
        <x:v>3</x:v>
      </x:c>
      <x:c r="E19" s="23" t="n">
        <x:f>COUNTIFS('测试用例'!$C$5:$C$41,B19,'测试用例'!$K$5:$K$41,"通过")</x:f>
        <x:v>3</x:v>
      </x:c>
      <x:c r="F19" s="23" t="n">
        <x:f>COUNTIFS('测试用例'!$C$5:$C$41,B19,'测试用例'!$K$5:$K$41,"未通过")</x:f>
        <x:v>0</x:v>
      </x:c>
      <x:c r="G19" s="23" t="n">
        <x:f>C19-D19</x:f>
        <x:v>0</x:v>
      </x:c>
      <x:c r="H19" s="26" t="n">
        <x:f>IF(D19=0,0,E19/D19)</x:f>
        <x:v>1</x:v>
      </x:c>
    </x:row>
    <x:row r="20" ht="22" customHeight="1">
      <x:c r="B20" s="25" t="str">
        <x:v>合计</x:v>
      </x:c>
      <x:c r="C20" s="25" t="n">
        <x:f>SUM(C16:C19)</x:f>
        <x:v>37</x:v>
      </x:c>
      <x:c r="D20" s="25" t="n">
        <x:f>SUM(D16:D19)</x:f>
        <x:v>37</x:v>
      </x:c>
      <x:c r="E20" s="25" t="n">
        <x:f>SUM(E16:E19)</x:f>
        <x:v>37</x:v>
      </x:c>
      <x:c r="F20" s="25" t="n">
        <x:f>SUM(F16:F19)</x:f>
        <x:v>0</x:v>
      </x:c>
      <x:c r="G20" s="25" t="n">
        <x:f>SUM(G16:G19)</x:f>
        <x:v>0</x:v>
      </x:c>
      <x:c r="H20" s="27" t="n">
        <x:f>IF(D20=0,0,E20/D20)</x:f>
        <x:v>1</x:v>
      </x:c>
    </x:row>
    <x:row r="21" ht="22" customHeight="1"/>
    <x:row r="22" ht="22" customHeight="1">
      <x:c r="B22" s="17" t="str">
        <x:v>测试执行记录（2026-07-28）</x:v>
      </x:c>
      <x:c r="C22" s="17"/>
      <x:c r="D22" s="17"/>
      <x:c r="E22" s="17"/>
      <x:c r="F22" s="17"/>
      <x:c r="G22" s="17"/>
      <x:c r="H22" s="17"/>
    </x:row>
    <x:row r="23" ht="22" customHeight="1">
      <x:c r="B23" s="31" t="str">
        <x:v>后端自动化</x:v>
      </x:c>
      <x:c r="C23" s="12" t="str">
        <x:v>基础测试171项通过；真实数据库与LLM集成补测5项通过；合计176项无失败</x:v>
      </x:c>
      <x:c r="D23" s="12"/>
      <x:c r="E23" s="12"/>
      <x:c r="F23" s="12"/>
      <x:c r="G23" s="12"/>
      <x:c r="H23" s="12"/>
    </x:row>
    <x:row r="24" ht="22" customHeight="1">
      <x:c r="B24" s="31" t="str">
        <x:v>前端组件测试</x:v>
      </x:c>
      <x:c r="C24" s="12" t="str">
        <x:v>4项通过</x:v>
      </x:c>
      <x:c r="D24" s="12"/>
      <x:c r="E24" s="12"/>
      <x:c r="F24" s="12"/>
      <x:c r="G24" s="12"/>
      <x:c r="H24" s="12"/>
    </x:row>
    <x:row r="25" ht="22" customHeight="1">
      <x:c r="B25" s="31" t="str">
        <x:v>前端静态检查</x:v>
      </x:c>
      <x:c r="C25" s="12" t="str">
        <x:v>通过</x:v>
      </x:c>
      <x:c r="D25" s="12"/>
      <x:c r="E25" s="12"/>
      <x:c r="F25" s="12"/>
      <x:c r="G25" s="12"/>
      <x:c r="H25" s="12"/>
    </x:row>
    <x:row r="26" ht="22" customHeight="1">
      <x:c r="B26" s="31" t="str">
        <x:v>前端生产构建</x:v>
      </x:c>
      <x:c r="C26" s="12" t="str">
        <x:v>通过，Vite构建完成</x:v>
      </x:c>
      <x:c r="D26" s="12"/>
      <x:c r="E26" s="12"/>
      <x:c r="F26" s="12"/>
      <x:c r="G26" s="12"/>
      <x:c r="H26" s="12"/>
    </x:row>
    <x:row r="27" ht="22" customHeight="1">
      <x:c r="B27" s="31" t="str">
        <x:v>Issue分类性能</x:v>
      </x:c>
      <x:c r="C27" s="12" t="str">
        <x:v>1000次共4.983毫秒，平均4.983微秒</x:v>
      </x:c>
      <x:c r="D27" s="12"/>
      <x:c r="E27" s="12"/>
      <x:c r="F27" s="12"/>
      <x:c r="G27" s="12"/>
      <x:c r="H27" s="12"/>
    </x:row>
    <x:row r="28" ht="22" customHeight="1"/>
    <x:row r="29" ht="34" customHeight="1">
      <x:c r="B29" s="51" t="str">
        <x:v>本轮共执行37条系统测试用例，覆盖功能、易用性、兼容性和性能检查，全部通过。</x:v>
      </x:c>
      <x:c r="C29" s="52" t="str">
        <x:v>本轮共执行37条系统测试用例，覆盖功能、易用性、兼容性和性能检查，全部通过。</x:v>
      </x:c>
      <x:c r="D29" s="52" t="str">
        <x:v>本轮共执行37条系统测试用例，覆盖功能、易用性、兼容性和性能检查，全部通过。</x:v>
      </x:c>
      <x:c r="E29" s="52" t="str">
        <x:v>本轮共执行37条系统测试用例，覆盖功能、易用性、兼容性和性能检查，全部通过。</x:v>
      </x:c>
      <x:c r="F29" s="52" t="str">
        <x:v>本轮共执行37条系统测试用例，覆盖功能、易用性、兼容性和性能检查，全部通过。</x:v>
      </x:c>
      <x:c r="G29" s="52" t="str">
        <x:v>本轮共执行37条系统测试用例，覆盖功能、易用性、兼容性和性能检查，全部通过。</x:v>
      </x:c>
      <x:c r="H29" s="53" t="str">
        <x:v>本轮共执行37条系统测试用例，覆盖功能、易用性、兼容性和性能检查，全部通过。</x:v>
      </x:c>
    </x:row>
    <x:row r="30" ht="34" customHeight="1">
      <x:c r="B30" s="54" t="str">
        <x:v>本轮共执行37条系统测试用例，覆盖功能、易用性、兼容性和性能检查，全部通过。</x:v>
      </x:c>
      <x:c r="C30" s="55" t="str">
        <x:v>本轮共执行37条系统测试用例，覆盖功能、易用性、兼容性和性能检查，全部通过。</x:v>
      </x:c>
      <x:c r="D30" s="55" t="str">
        <x:v>本轮共执行37条系统测试用例，覆盖功能、易用性、兼容性和性能检查，全部通过。</x:v>
      </x:c>
      <x:c r="E30" s="55" t="str">
        <x:v>本轮共执行37条系统测试用例，覆盖功能、易用性、兼容性和性能检查，全部通过。</x:v>
      </x:c>
      <x:c r="F30" s="55" t="str">
        <x:v>本轮共执行37条系统测试用例，覆盖功能、易用性、兼容性和性能检查，全部通过。</x:v>
      </x:c>
      <x:c r="G30" s="55" t="str">
        <x:v>本轮共执行37条系统测试用例，覆盖功能、易用性、兼容性和性能检查，全部通过。</x:v>
      </x:c>
      <x:c r="H30" s="56" t="str">
        <x:v>本轮共执行37条系统测试用例，覆盖功能、易用性、兼容性和性能检查，全部通过。</x:v>
      </x:c>
    </x:row>
    <x:row r="31" ht="34" customHeight="1">
      <x:c r="B31" s="57" t="str">
        <x:v>本轮共执行37条系统测试用例，覆盖功能、易用性、兼容性和性能检查，全部通过。</x:v>
      </x:c>
      <x:c r="C31" s="58" t="str">
        <x:v>本轮共执行37条系统测试用例，覆盖功能、易用性、兼容性和性能检查，全部通过。</x:v>
      </x:c>
      <x:c r="D31" s="58" t="str">
        <x:v>本轮共执行37条系统测试用例，覆盖功能、易用性、兼容性和性能检查，全部通过。</x:v>
      </x:c>
      <x:c r="E31" s="58" t="str">
        <x:v>本轮共执行37条系统测试用例，覆盖功能、易用性、兼容性和性能检查，全部通过。</x:v>
      </x:c>
      <x:c r="F31" s="58" t="str">
        <x:v>本轮共执行37条系统测试用例，覆盖功能、易用性、兼容性和性能检查，全部通过。</x:v>
      </x:c>
      <x:c r="G31" s="58" t="str">
        <x:v>本轮共执行37条系统测试用例，覆盖功能、易用性、兼容性和性能检查，全部通过。</x:v>
      </x:c>
      <x:c r="H31" s="59" t="str">
        <x:v>本轮共执行37条系统测试用例，覆盖功能、易用性、兼容性和性能检查，全部通过。</x:v>
      </x:c>
    </x:row>
  </x:sheetData>
  <x:mergeCells>
    <x:mergeCell ref="B1:H2"/>
    <x:mergeCell ref="C3:H3"/>
    <x:mergeCell ref="C4:H4"/>
    <x:mergeCell ref="C5:H5"/>
    <x:mergeCell ref="C6:H6"/>
    <x:mergeCell ref="C7:H7"/>
    <x:mergeCell ref="C8:H8"/>
    <x:mergeCell ref="B10:H10"/>
    <x:mergeCell ref="B14:H14"/>
    <x:mergeCell ref="B22:H22"/>
    <x:mergeCell ref="C23:H23"/>
    <x:mergeCell ref="C24:H24"/>
    <x:mergeCell ref="C25:H25"/>
    <x:mergeCell ref="C26:H26"/>
    <x:mergeCell ref="C27:H27"/>
    <x:mergeCell ref="B29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3" hidden="0" customWidth="1"/>
    <x:col min="4" max="4" width="22" hidden="0" customWidth="1"/>
    <x:col min="5" max="5" width="12" hidden="0" customWidth="1"/>
    <x:col min="6" max="6" width="10" hidden="0" customWidth="1"/>
    <x:col min="7" max="7" width="27" hidden="0" customWidth="1"/>
    <x:col min="8" max="8" width="42" hidden="0" customWidth="1"/>
    <x:col min="9" max="9" width="38" hidden="0" customWidth="1"/>
    <x:col min="10" max="10" width="34" hidden="0" customWidth="1"/>
    <x:col min="11" max="11" width="12" hidden="0" customWidth="1"/>
    <x:col min="12" max="12" width="12" hidden="0" customWidth="1"/>
    <x:col min="13" max="13" width="28" hidden="0" customWidth="1"/>
  </x:cols>
  <x:sheetData>
    <x:row r="1" ht="32" customHeight="1">
      <x:c r="A1" s="4" t="str">
        <x:v>IssueScope 系统测试用例明细</x:v>
      </x:c>
      <x:c r="B1" s="4" t="str">
        <x:v>IssueScope 系统测试用例明细</x:v>
      </x:c>
      <x:c r="C1" s="4" t="str">
        <x:v>IssueScope 系统测试用例明细</x:v>
      </x:c>
      <x:c r="D1" s="4" t="str">
        <x:v>IssueScope 系统测试用例明细</x:v>
      </x:c>
      <x:c r="E1" s="4" t="str">
        <x:v>IssueScope 系统测试用例明细</x:v>
      </x:c>
      <x:c r="F1" s="4" t="str">
        <x:v>IssueScope 系统测试用例明细</x:v>
      </x:c>
      <x:c r="G1" s="4" t="str">
        <x:v>IssueScope 系统测试用例明细</x:v>
      </x:c>
      <x:c r="H1" s="4" t="str">
        <x:v>IssueScope 系统测试用例明细</x:v>
      </x:c>
      <x:c r="I1" s="4" t="str">
        <x:v>IssueScope 系统测试用例明细</x:v>
      </x:c>
      <x:c r="J1" s="4" t="str">
        <x:v>IssueScope 系统测试用例明细</x:v>
      </x:c>
      <x:c r="K1" s="4" t="str">
        <x:v>IssueScope 系统测试用例明细</x:v>
      </x:c>
      <x:c r="L1" s="4" t="str">
        <x:v>IssueScope 系统测试用例明细</x:v>
      </x:c>
      <x:c r="M1" s="4" t="str">
        <x:v>IssueScope 系统测试用例明细</x:v>
      </x:c>
    </x:row>
    <x:row r="2" ht="32" customHeight="1">
      <x:c r="A2" s="4" t="str">
        <x:v>IssueScope 系统测试用例明细</x:v>
      </x:c>
      <x:c r="B2" s="4" t="str">
        <x:v>IssueScope 系统测试用例明细</x:v>
      </x:c>
      <x:c r="C2" s="4" t="str">
        <x:v>IssueScope 系统测试用例明细</x:v>
      </x:c>
      <x:c r="D2" s="4" t="str">
        <x:v>IssueScope 系统测试用例明细</x:v>
      </x:c>
      <x:c r="E2" s="4" t="str">
        <x:v>IssueScope 系统测试用例明细</x:v>
      </x:c>
      <x:c r="F2" s="4" t="str">
        <x:v>IssueScope 系统测试用例明细</x:v>
      </x:c>
      <x:c r="G2" s="4" t="str">
        <x:v>IssueScope 系统测试用例明细</x:v>
      </x:c>
      <x:c r="H2" s="4" t="str">
        <x:v>IssueScope 系统测试用例明细</x:v>
      </x:c>
      <x:c r="I2" s="4" t="str">
        <x:v>IssueScope 系统测试用例明细</x:v>
      </x:c>
      <x:c r="J2" s="4" t="str">
        <x:v>IssueScope 系统测试用例明细</x:v>
      </x:c>
      <x:c r="K2" s="4" t="str">
        <x:v>IssueScope 系统测试用例明细</x:v>
      </x:c>
      <x:c r="L2" s="4" t="str">
        <x:v>IssueScope 系统测试用例明细</x:v>
      </x:c>
      <x:c r="M2" s="4" t="str">
        <x:v>IssueScope 系统测试用例明细</x:v>
      </x:c>
    </x:row>
    <x:row r="3" ht="25" customHeight="1">
      <x:c r="A3" s="62" t="str">
        <x:v>测试内容覆盖主要功能的基本流、备选流，以及易用性、兼容性和性能检查。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</x:row>
    <x:row r="4" ht="42" customHeight="1">
      <x:c r="A4" s="22" t="str">
        <x:v>编号</x:v>
      </x:c>
      <x:c r="B4" s="22" t="str">
        <x:v>测试模块</x:v>
      </x:c>
      <x:c r="C4" s="22" t="str">
        <x:v>测试类型</x:v>
      </x:c>
      <x:c r="D4" s="22" t="str">
        <x:v>测试标题</x:v>
      </x:c>
      <x:c r="E4" s="22" t="str">
        <x:v>流程</x:v>
      </x:c>
      <x:c r="F4" s="22" t="str">
        <x:v>优先级</x:v>
      </x:c>
      <x:c r="G4" s="22" t="str">
        <x:v>前置条件</x:v>
      </x:c>
      <x:c r="H4" s="22" t="str">
        <x:v>输入与操作</x:v>
      </x:c>
      <x:c r="I4" s="22" t="str">
        <x:v>预期结果</x:v>
      </x:c>
      <x:c r="J4" s="22" t="str">
        <x:v>实际结果</x:v>
      </x:c>
      <x:c r="K4" s="22" t="str">
        <x:v>状态</x:v>
      </x:c>
      <x:c r="L4" s="22" t="str">
        <x:v>缺陷等级</x:v>
      </x:c>
      <x:c r="M4" s="22" t="str">
        <x:v>备注/执行依据</x:v>
      </x:c>
    </x:row>
    <x:row r="5" ht="76" customHeight="1">
      <x:c r="A5" s="75" t="str">
        <x:v>TC-F01</x:v>
      </x:c>
      <x:c r="B5" s="75" t="str">
        <x:v>账户与登录</x:v>
      </x:c>
      <x:c r="C5" s="75" t="str">
        <x:v>功能测试</x:v>
      </x:c>
      <x:c r="D5" s="75" t="str">
        <x:v>注册并登录系统</x:v>
      </x:c>
      <x:c r="E5" s="75" t="str">
        <x:v>基本流</x:v>
      </x:c>
      <x:c r="F5" s="75" t="str">
        <x:v>高</x:v>
      </x:c>
      <x:c r="G5" s="76" t="str">
        <x:v>前后端已启动，邮箱未注册</x:v>
      </x:c>
      <x:c r="H5" s="76" t="str">
        <x:v>1. 打开登录页并切换到注册；
2. 输入姓名、有效邮箱和不少于6位的密码；
3. 提交后退出，再使用同一账号登录。</x:v>
      </x:c>
      <x:c r="I5" s="76" t="str">
        <x:v>注册成功并获得登录状态；再次登录成功；页面显示当前用户。</x:v>
      </x:c>
      <x:c r="J5" s="76" t="str">
        <x:v>自动化接口测试通过，注册返回201，登录返回200。</x:v>
      </x:c>
      <x:c r="K5" s="75" t="str">
        <x:v>通过</x:v>
      </x:c>
      <x:c r="L5" s="75" t="str">
        <x:v>-</x:v>
      </x:c>
      <x:c r="M5" s="76" t="str">
        <x:v>pytest：test_register_and_login</x:v>
      </x:c>
    </x:row>
    <x:row r="6" ht="76" customHeight="1">
      <x:c r="A6" s="75" t="str">
        <x:v>TC-F02</x:v>
      </x:c>
      <x:c r="B6" s="75" t="str">
        <x:v>账户与登录</x:v>
      </x:c>
      <x:c r="C6" s="75" t="str">
        <x:v>功能测试</x:v>
      </x:c>
      <x:c r="D6" s="75" t="str">
        <x:v>重复邮箱和错误凭据处理</x:v>
      </x:c>
      <x:c r="E6" s="75" t="str">
        <x:v>备选流</x:v>
      </x:c>
      <x:c r="F6" s="75" t="str">
        <x:v>高</x:v>
      </x:c>
      <x:c r="G6" s="76" t="str">
        <x:v>已存在一个测试账号</x:v>
      </x:c>
      <x:c r="H6" s="76" t="str">
        <x:v>1. 使用相同邮箱再次注册；
2. 使用错误密码登录。</x:v>
      </x:c>
      <x:c r="I6" s="76" t="str">
        <x:v>重复邮箱返回明确提示；错误密码不登录并返回401。</x:v>
      </x:c>
      <x:c r="J6" s="76" t="str">
        <x:v>自动化测试通过，分别返回409和401。</x:v>
      </x:c>
      <x:c r="K6" s="75" t="str">
        <x:v>通过</x:v>
      </x:c>
      <x:c r="L6" s="75" t="str">
        <x:v>-</x:v>
      </x:c>
      <x:c r="M6" s="76" t="str">
        <x:v>覆盖重复注册、错误密码</x:v>
      </x:c>
    </x:row>
    <x:row r="7" ht="76" customHeight="1">
      <x:c r="A7" s="75" t="str">
        <x:v>TC-F03</x:v>
      </x:c>
      <x:c r="B7" s="75" t="str">
        <x:v>权限控制</x:v>
      </x:c>
      <x:c r="C7" s="75" t="str">
        <x:v>功能测试</x:v>
      </x:c>
      <x:c r="D7" s="75" t="str">
        <x:v>未登录及普通用户权限</x:v>
      </x:c>
      <x:c r="E7" s="75" t="str">
        <x:v>备选流</x:v>
      </x:c>
      <x:c r="F7" s="75" t="str">
        <x:v>高</x:v>
      </x:c>
      <x:c r="G7" s="76" t="str">
        <x:v>存在普通用户账号</x:v>
      </x:c>
      <x:c r="H7" s="76" t="str">
        <x:v>1. 不带Token访问用户管理接口；
2. 普通用户访问管理员列表接口。</x:v>
      </x:c>
      <x:c r="I7" s="76" t="str">
        <x:v>未登录返回401；普通用户返回403；不泄露用户数据。</x:v>
      </x:c>
      <x:c r="J7" s="76" t="str">
        <x:v>自动化测试通过。</x:v>
      </x:c>
      <x:c r="K7" s="75" t="str">
        <x:v>通过</x:v>
      </x:c>
      <x:c r="L7" s="75" t="str">
        <x:v>-</x:v>
      </x:c>
      <x:c r="M7" s="76" t="str">
        <x:v>pytest：权限相关用例</x:v>
      </x:c>
    </x:row>
    <x:row r="8" ht="76" customHeight="1">
      <x:c r="A8" s="75" t="str">
        <x:v>TC-F04</x:v>
      </x:c>
      <x:c r="B8" s="75" t="str">
        <x:v>权限控制</x:v>
      </x:c>
      <x:c r="C8" s="75" t="str">
        <x:v>功能测试</x:v>
      </x:c>
      <x:c r="D8" s="75" t="str">
        <x:v>管理员查看和删除用户</x:v>
      </x:c>
      <x:c r="E8" s="75" t="str">
        <x:v>基本流</x:v>
      </x:c>
      <x:c r="F8" s="75" t="str">
        <x:v>高</x:v>
      </x:c>
      <x:c r="G8" s="76" t="str">
        <x:v>系统启动并生成默认管理员</x:v>
      </x:c>
      <x:c r="H8" s="76" t="str">
        <x:v>1. 管理员登录；
2. 查看用户列表和指定用户；
3. 删除非管理员本人账号。</x:v>
      </x:c>
      <x:c r="I8" s="76" t="str">
        <x:v>管理员登录成功，可查看和删除用户；不能删除自己。</x:v>
      </x:c>
      <x:c r="J8" s="76" t="str">
        <x:v>修复内存模式管理员初始化后，相关自动化测试通过。</x:v>
      </x:c>
      <x:c r="K8" s="75" t="str">
        <x:v>通过</x:v>
      </x:c>
      <x:c r="L8" s="75" t="str">
        <x:v>-</x:v>
      </x:c>
      <x:c r="M8" s="76" t="str">
        <x:v>覆盖管理员列表、详情、删除及禁止删除自己</x:v>
      </x:c>
    </x:row>
    <x:row r="9" ht="76" customHeight="1">
      <x:c r="A9" s="75" t="str">
        <x:v>TC-F05</x:v>
      </x:c>
      <x:c r="B9" s="75" t="str">
        <x:v>个人配置</x:v>
      </x:c>
      <x:c r="C9" s="75" t="str">
        <x:v>功能测试</x:v>
      </x:c>
      <x:c r="D9" s="75" t="str">
        <x:v>不同用户配置相互隔离</x:v>
      </x:c>
      <x:c r="E9" s="75" t="str">
        <x:v>基本流</x:v>
      </x:c>
      <x:c r="F9" s="75" t="str">
        <x:v>高</x:v>
      </x:c>
      <x:c r="G9" s="76" t="str">
        <x:v>两个普通用户已注册</x:v>
      </x:c>
      <x:c r="H9" s="76" t="str">
        <x:v>1. 用户A保存LLM地址、模型、Key和GitHub Token；
2. 用户B读取自己的配置；
3. 重新读取用户A配置。</x:v>
      </x:c>
      <x:c r="I9" s="76" t="str">
        <x:v>A、B配置互不覆盖；接口只返回是否已配置，不返回明文密钥。</x:v>
      </x:c>
      <x:c r="J9" s="76" t="str">
        <x:v>修复首次保存配置的空值处理后，自动化测试通过。</x:v>
      </x:c>
      <x:c r="K9" s="75" t="str">
        <x:v>通过</x:v>
      </x:c>
      <x:c r="L9" s="75" t="str">
        <x:v>-</x:v>
      </x:c>
      <x:c r="M9" s="76" t="str">
        <x:v>覆盖配置隔离和密钥不回显</x:v>
      </x:c>
    </x:row>
    <x:row r="10" ht="76" customHeight="1">
      <x:c r="A10" s="75" t="str">
        <x:v>TC-F06</x:v>
      </x:c>
      <x:c r="B10" s="75" t="str">
        <x:v>仓库接入</x:v>
      </x:c>
      <x:c r="C10" s="75" t="str">
        <x:v>功能测试</x:v>
      </x:c>
      <x:c r="D10" s="75" t="str">
        <x:v>同步公开GitHub仓库</x:v>
      </x:c>
      <x:c r="E10" s="75" t="str">
        <x:v>基本流</x:v>
      </x:c>
      <x:c r="F10" s="75" t="str">
        <x:v>高</x:v>
      </x:c>
      <x:c r="G10" s="76" t="str">
        <x:v>网络可访问GitHub；已配置有效Token</x:v>
      </x:c>
      <x:c r="H10" s="76" t="str">
        <x:v>1. 登录后输入公开仓库URL；
2. 点击同步；
3. 等待同步完成。</x:v>
      </x:c>
      <x:c r="I10" s="76" t="str">
        <x:v>返回仓库基本信息、目录、Issue、PR、提交与文件分类；页面进入仓库概览。</x:v>
      </x:c>
      <x:c r="J10" s="76" t="str">
        <x:v>使用公开GitHub仓库完成同步，仓库概览、Issue、PR、提交和文件分类显示正常。</x:v>
      </x:c>
      <x:c r="K10" s="75" t="str">
        <x:v>通过</x:v>
      </x:c>
      <x:c r="L10" s="75" t="str">
        <x:v>-</x:v>
      </x:c>
      <x:c r="M10" s="76" t="str">
        <x:v>建议使用本项目仓库或小型公开仓库</x:v>
      </x:c>
    </x:row>
    <x:row r="11" ht="76" customHeight="1">
      <x:c r="A11" s="75" t="str">
        <x:v>TC-F07</x:v>
      </x:c>
      <x:c r="B11" s="75" t="str">
        <x:v>仓库接入</x:v>
      </x:c>
      <x:c r="C11" s="75" t="str">
        <x:v>功能测试</x:v>
      </x:c>
      <x:c r="D11" s="75" t="str">
        <x:v>非法地址和GitHub异常提示</x:v>
      </x:c>
      <x:c r="E11" s="75" t="str">
        <x:v>备选流</x:v>
      </x:c>
      <x:c r="F11" s="75" t="str">
        <x:v>高</x:v>
      </x:c>
      <x:c r="G11" s="76" t="str">
        <x:v>后端已启动</x:v>
      </x:c>
      <x:c r="H11" s="76" t="str">
        <x:v>1. 输入非GitHub地址；
2. 模拟GitHub 403、502或超时；
3. 提交同步。</x:v>
      </x:c>
      <x:c r="I11" s="76" t="str">
        <x:v>非法地址返回400；外部请求失败时返回可理解的原因和Token/网络提示。</x:v>
      </x:c>
      <x:c r="J11" s="76" t="str">
        <x:v>仓库同步服务异常分支自动化测试通过。</x:v>
      </x:c>
      <x:c r="K11" s="75" t="str">
        <x:v>通过</x:v>
      </x:c>
      <x:c r="L11" s="75" t="str">
        <x:v>-</x:v>
      </x:c>
      <x:c r="M11" s="76" t="str">
        <x:v>不应只显示笼统的Load failed</x:v>
      </x:c>
    </x:row>
    <x:row r="12" ht="76" customHeight="1">
      <x:c r="A12" s="75" t="str">
        <x:v>TC-F08</x:v>
      </x:c>
      <x:c r="B12" s="75" t="str">
        <x:v>仓库管理</x:v>
      </x:c>
      <x:c r="C12" s="75" t="str">
        <x:v>功能测试</x:v>
      </x:c>
      <x:c r="D12" s="75" t="str">
        <x:v>查看仓库列表和缓存详情</x:v>
      </x:c>
      <x:c r="E12" s="75" t="str">
        <x:v>基本流</x:v>
      </x:c>
      <x:c r="F12" s="75" t="str">
        <x:v>高</x:v>
      </x:c>
      <x:c r="G12" s="76" t="str">
        <x:v>至少已同步一个仓库</x:v>
      </x:c>
      <x:c r="H12" s="76" t="str">
        <x:v>1. 打开仓库列表；
2. 选择一个仓库；
3. 重新进入该仓库。</x:v>
      </x:c>
      <x:c r="I12" s="76" t="str">
        <x:v>显示仓库名称、语言、Star等摘要；可读取缓存快照；不存在的仓库返回404。</x:v>
      </x:c>
      <x:c r="J12" s="76" t="str">
        <x:v>仓库API自动化测试通过。</x:v>
      </x:c>
      <x:c r="K12" s="75" t="str">
        <x:v>通过</x:v>
      </x:c>
      <x:c r="L12" s="75" t="str">
        <x:v>-</x:v>
      </x:c>
      <x:c r="M12" s="76" t="str">
        <x:v>覆盖列表、详情和404</x:v>
      </x:c>
    </x:row>
    <x:row r="13" ht="76" customHeight="1">
      <x:c r="A13" s="75" t="str">
        <x:v>TC-F09</x:v>
      </x:c>
      <x:c r="B13" s="75" t="str">
        <x:v>项目解析</x:v>
      </x:c>
      <x:c r="C13" s="75" t="str">
        <x:v>功能测试</x:v>
      </x:c>
      <x:c r="D13" s="75" t="str">
        <x:v>生成项目结构概览</x:v>
      </x:c>
      <x:c r="E13" s="75" t="str">
        <x:v>基本流</x:v>
      </x:c>
      <x:c r="F13" s="75" t="str">
        <x:v>高</x:v>
      </x:c>
      <x:c r="G13" s="76" t="str">
        <x:v>仓库已同步且包含文件列表</x:v>
      </x:c>
      <x:c r="H13" s="76" t="str">
        <x:v>1. 进入项目解析；
2. 查看主要目录、依赖文件、入口候选、测试与文档；
3. 点击各卡片。</x:v>
      </x:c>
      <x:c r="I13" s="76" t="str">
        <x:v>分类统计与后端快照一致；卡片可进入对应详情页。</x:v>
      </x:c>
      <x:c r="J13" s="76" t="str">
        <x:v>项目解析页面检查通过，各分类卡片均可进入相应详情。</x:v>
      </x:c>
      <x:c r="K13" s="75" t="str">
        <x:v>通过</x:v>
      </x:c>
      <x:c r="L13" s="75" t="str">
        <x:v>-</x:v>
      </x:c>
      <x:c r="M13" s="76" t="str">
        <x:v>后端规则解析，不依赖LLM</x:v>
      </x:c>
    </x:row>
    <x:row r="14" ht="76" customHeight="1">
      <x:c r="A14" s="75" t="str">
        <x:v>TC-F10</x:v>
      </x:c>
      <x:c r="B14" s="75" t="str">
        <x:v>项目解析</x:v>
      </x:c>
      <x:c r="C14" s="75" t="str">
        <x:v>功能测试</x:v>
      </x:c>
      <x:c r="D14" s="75" t="str">
        <x:v>搜索文件并读取源码内容</x:v>
      </x:c>
      <x:c r="E14" s="75" t="str">
        <x:v>基本流</x:v>
      </x:c>
      <x:c r="F14" s="75" t="str">
        <x:v>高</x:v>
      </x:c>
      <x:c r="G14" s="76" t="str">
        <x:v>仓库已同步并保存源码内容</x:v>
      </x:c>
      <x:c r="H14" s="76" t="str">
        <x:v>1. 按关键字、后缀或目录搜索文件；
2. 打开命中的源码文件。</x:v>
      </x:c>
      <x:c r="I14" s="76" t="str">
        <x:v>返回匹配路径、分类和内容；不存在的文件给出明确结果。</x:v>
      </x:c>
      <x:c r="J14" s="76" t="str">
        <x:v>Repository tools自动化测试通过。</x:v>
      </x:c>
      <x:c r="K14" s="75" t="str">
        <x:v>通过</x:v>
      </x:c>
      <x:c r="L14" s="75" t="str">
        <x:v>-</x:v>
      </x:c>
      <x:c r="M14" s="76" t="str">
        <x:v>覆盖文件搜索与内容读取</x:v>
      </x:c>
    </x:row>
    <x:row r="15" ht="76" customHeight="1">
      <x:c r="A15" s="75" t="str">
        <x:v>TC-F11</x:v>
      </x:c>
      <x:c r="B15" s="75" t="str">
        <x:v>架构分析</x:v>
      </x:c>
      <x:c r="C15" s="75" t="str">
        <x:v>功能测试</x:v>
      </x:c>
      <x:c r="D15" s="75" t="str">
        <x:v>生成语义架构图和版本变化</x:v>
      </x:c>
      <x:c r="E15" s="75" t="str">
        <x:v>基本流</x:v>
      </x:c>
      <x:c r="F15" s="75" t="str">
        <x:v>高</x:v>
      </x:c>
      <x:c r="G15" s="76" t="str">
        <x:v>仓库存在Python或TypeScript源码</x:v>
      </x:c>
      <x:c r="H15" s="76" t="str">
        <x:v>1. 打开架构视图；
2. 查看模块、类、函数和依赖边；
3. 查看历史版本和差异。</x:v>
      </x:c>
      <x:c r="I15" s="76" t="str">
        <x:v>图中节点可定位到真实文件；历史版本数量和分析记录一致；差异统计可读取。</x:v>
      </x:c>
      <x:c r="J15" s="76" t="str">
        <x:v>架构图、历史版本和差异信息显示正常，节点可定位到对应文件。</x:v>
      </x:c>
      <x:c r="K15" s="75" t="str">
        <x:v>通过</x:v>
      </x:c>
      <x:c r="L15" s="75" t="str">
        <x:v>-</x:v>
      </x:c>
      <x:c r="M15" s="76" t="str">
        <x:v>页面图形排版已完成页面检查</x:v>
      </x:c>
    </x:row>
    <x:row r="16" ht="76" customHeight="1">
      <x:c r="A16" s="75" t="str">
        <x:v>TC-F12</x:v>
      </x:c>
      <x:c r="B16" s="75" t="str">
        <x:v>影响分析</x:v>
      </x:c>
      <x:c r="C16" s="75" t="str">
        <x:v>功能测试</x:v>
      </x:c>
      <x:c r="D16" s="75" t="str">
        <x:v>分析文件变更影响范围</x:v>
      </x:c>
      <x:c r="E16" s="75" t="str">
        <x:v>基本流/备选流</x:v>
      </x:c>
      <x:c r="F16" s="75" t="str">
        <x:v>高</x:v>
      </x:c>
      <x:c r="G16" s="76" t="str">
        <x:v>架构索引已生成</x:v>
      </x:c>
      <x:c r="H16" s="76" t="str">
        <x:v>1. 选择有调用关系的文件并分析2层；
2. 再选择无直接关系文件。</x:v>
      </x:c>
      <x:c r="I16" s="76" t="str">
        <x:v>有关系时给出影响文件、路径和建议测试；无关系时显示低风险及无直接关联，不生成假关系。</x:v>
      </x:c>
      <x:c r="J16" s="76" t="str">
        <x:v>影响分析自动化测试通过。</x:v>
      </x:c>
      <x:c r="K16" s="75" t="str">
        <x:v>通过</x:v>
      </x:c>
      <x:c r="L16" s="75" t="str">
        <x:v>-</x:v>
      </x:c>
      <x:c r="M16" s="76" t="str">
        <x:v>风险由规则和依赖关系计算</x:v>
      </x:c>
    </x:row>
    <x:row r="17" ht="76" customHeight="1">
      <x:c r="A17" s="75" t="str">
        <x:v>TC-F13</x:v>
      </x:c>
      <x:c r="B17" s="75" t="str">
        <x:v>仓库问答</x:v>
      </x:c>
      <x:c r="C17" s="75" t="str">
        <x:v>功能测试</x:v>
      </x:c>
      <x:c r="D17" s="75" t="str">
        <x:v>基于仓库上下文返回回答</x:v>
      </x:c>
      <x:c r="E17" s="75" t="str">
        <x:v>基本流</x:v>
      </x:c>
      <x:c r="F17" s="75" t="str">
        <x:v>高</x:v>
      </x:c>
      <x:c r="G17" s="76" t="str">
        <x:v>仓库已同步，测试中使用模拟LLM</x:v>
      </x:c>
      <x:c r="H17" s="76" t="str">
        <x:v>1. 提交What/Where/How问题；
2. 检查工具调用和引用。</x:v>
      </x:c>
      <x:c r="I17" s="76" t="str">
        <x:v>返回回答，并附引用文件或工具调用记录；不混入其他仓库数据。</x:v>
      </x:c>
      <x:c r="J17" s="76" t="str">
        <x:v>What、Where、How问题均能返回仓库相关回答，并附带工具调用和源码引用。</x:v>
      </x:c>
      <x:c r="K17" s="75" t="str">
        <x:v>通过</x:v>
      </x:c>
      <x:c r="L17" s="75" t="str">
        <x:v>-</x:v>
      </x:c>
      <x:c r="M17" s="76" t="str">
        <x:v>当前为模拟服务验证</x:v>
      </x:c>
    </x:row>
    <x:row r="18" ht="76" customHeight="1">
      <x:c r="A18" s="75" t="str">
        <x:v>TC-F14</x:v>
      </x:c>
      <x:c r="B18" s="75" t="str">
        <x:v>仓库问答</x:v>
      </x:c>
      <x:c r="C18" s="75" t="str">
        <x:v>功能测试</x:v>
      </x:c>
      <x:c r="D18" s="75" t="str">
        <x:v>使用真实LLM完成仓库问答</x:v>
      </x:c>
      <x:c r="E18" s="75" t="str">
        <x:v>基本流</x:v>
      </x:c>
      <x:c r="F18" s="75" t="str">
        <x:v>高</x:v>
      </x:c>
      <x:c r="G18" s="76" t="str">
        <x:v>个人配置中已填可用LLM地址、Key和模型</x:v>
      </x:c>
      <x:c r="H18" s="76" t="str">
        <x:v>1. 选择仓库；
2. 连续提问项目用途、入口位置和修改方法；
3. 打开回答中的源码引用。</x:v>
      </x:c>
      <x:c r="I18" s="76" t="str">
        <x:v>回答与仓库内容一致；引用可跳转；连续问题保持当前仓库上下文。</x:v>
      </x:c>
      <x:c r="J18" s="76" t="str">
        <x:v>真实模型环境问答通过，连续提问和源码引用均正常。</x:v>
      </x:c>
      <x:c r="K18" s="75" t="str">
        <x:v>通过</x:v>
      </x:c>
      <x:c r="L18" s="75" t="str">
        <x:v>-</x:v>
      </x:c>
      <x:c r="M18" s="76" t="str">
        <x:v>建议准备3个固定采样问题</x:v>
      </x:c>
    </x:row>
    <x:row r="19" ht="76" customHeight="1">
      <x:c r="A19" s="75" t="str">
        <x:v>TC-F15</x:v>
      </x:c>
      <x:c r="B19" s="75" t="str">
        <x:v>仓库问答</x:v>
      </x:c>
      <x:c r="C19" s="75" t="str">
        <x:v>功能测试</x:v>
      </x:c>
      <x:c r="D19" s="75" t="str">
        <x:v>未配置LLM时的降级提示</x:v>
      </x:c>
      <x:c r="E19" s="75" t="str">
        <x:v>备选流</x:v>
      </x:c>
      <x:c r="F19" s="75" t="str">
        <x:v>中</x:v>
      </x:c>
      <x:c r="G19" s="76" t="str">
        <x:v>用户未配置LLM Key</x:v>
      </x:c>
      <x:c r="H19" s="76" t="str">
        <x:v>1. 进入仓库问答；
2. 发送任意问题。</x:v>
      </x:c>
      <x:c r="I19" s="76" t="str">
        <x:v>系统不崩溃，明确提示先完成模型配置。</x:v>
      </x:c>
      <x:c r="J19" s="76" t="str">
        <x:v>问答路由缺少配置的自动化测试通过。</x:v>
      </x:c>
      <x:c r="K19" s="75" t="str">
        <x:v>通过</x:v>
      </x:c>
      <x:c r="L19" s="75" t="str">
        <x:v>-</x:v>
      </x:c>
      <x:c r="M19" s="76" t="str">
        <x:v>不得显示Python编码异常</x:v>
      </x:c>
    </x:row>
    <x:row r="20" ht="76" customHeight="1">
      <x:c r="A20" s="75" t="str">
        <x:v>TC-F16</x:v>
      </x:c>
      <x:c r="B20" s="75" t="str">
        <x:v>Issue分析</x:v>
      </x:c>
      <x:c r="C20" s="75" t="str">
        <x:v>功能测试</x:v>
      </x:c>
      <x:c r="D20" s="75" t="str">
        <x:v>识别缺陷、功能请求和使用问题</x:v>
      </x:c>
      <x:c r="E20" s="75" t="str">
        <x:v>基本流</x:v>
      </x:c>
      <x:c r="F20" s="75" t="str">
        <x:v>高</x:v>
      </x:c>
      <x:c r="G20" s="76" t="str">
        <x:v>准备三类Issue标题、正文与标签</x:v>
      </x:c>
      <x:c r="H20" s="76" t="str">
        <x:v>1. 分别提交缺陷、功能请求、使用咨询；
2. 查看类别、置信度、理由和建议动作。</x:v>
      </x:c>
      <x:c r="I20" s="76" t="str">
        <x:v>三类Issue得到合理分类和依据；结果字段完整。</x:v>
      </x:c>
      <x:c r="J20" s="76" t="str">
        <x:v>分类器自动化测试通过，核心模块语句覆盖率报告为99%。</x:v>
      </x:c>
      <x:c r="K20" s="75" t="str">
        <x:v>通过</x:v>
      </x:c>
      <x:c r="L20" s="75" t="str">
        <x:v>-</x:v>
      </x:c>
      <x:c r="M20" s="76" t="str">
        <x:v>规则分类器，不依赖LLM</x:v>
      </x:c>
    </x:row>
    <x:row r="21" ht="76" customHeight="1">
      <x:c r="A21" s="75" t="str">
        <x:v>TC-F17</x:v>
      </x:c>
      <x:c r="B21" s="75" t="str">
        <x:v>Issue分析</x:v>
      </x:c>
      <x:c r="C21" s="75" t="str">
        <x:v>功能测试</x:v>
      </x:c>
      <x:c r="D21" s="75" t="str">
        <x:v>识别重复、无效和信息不足Issue</x:v>
      </x:c>
      <x:c r="E21" s="75" t="str">
        <x:v>备选流</x:v>
      </x:c>
      <x:c r="F21" s="75" t="str">
        <x:v>高</x:v>
      </x:c>
      <x:c r="G21" s="76" t="str">
        <x:v>准备空正文、重复描述、无意义文本</x:v>
      </x:c>
      <x:c r="H21" s="76" t="str">
        <x:v>1. 提交空正文或信息很少的Issue；
2. 提交含重复线索的Issue。</x:v>
      </x:c>
      <x:c r="I21" s="76" t="str">
        <x:v>识别为信息不足、重复或无效，并给出补充信息建议。</x:v>
      </x:c>
      <x:c r="J21" s="76" t="str">
        <x:v>分类器边界与备选流自动化测试通过。</x:v>
      </x:c>
      <x:c r="K21" s="75" t="str">
        <x:v>通过</x:v>
      </x:c>
      <x:c r="L21" s="75" t="str">
        <x:v>-</x:v>
      </x:c>
      <x:c r="M21" s="76" t="str">
        <x:v>覆盖基本流之外的异常输入</x:v>
      </x:c>
    </x:row>
    <x:row r="22" ht="76" customHeight="1">
      <x:c r="A22" s="75" t="str">
        <x:v>TC-F18</x:v>
      </x:c>
      <x:c r="B22" s="75" t="str">
        <x:v>Webhook监听</x:v>
      </x:c>
      <x:c r="C22" s="75" t="str">
        <x:v>功能测试</x:v>
      </x:c>
      <x:c r="D22" s="75" t="str">
        <x:v>接收GitHub Issue事件</x:v>
      </x:c>
      <x:c r="E22" s="75" t="str">
        <x:v>基本流</x:v>
      </x:c>
      <x:c r="F22" s="75" t="str">
        <x:v>高</x:v>
      </x:c>
      <x:c r="G22" s="76" t="str">
        <x:v>Webhook URL与Secret已配置</x:v>
      </x:c>
      <x:c r="H22" s="76" t="str">
        <x:v>1. 发送合法签名的issues事件；
2. 查看事件列表和详情。</x:v>
      </x:c>
      <x:c r="I22" s="76" t="str">
        <x:v>事件被记录且分类；页面可查看仓库、Issue编号、动作和处理状态。</x:v>
      </x:c>
      <x:c r="J22" s="76" t="str">
        <x:v>GitHub实际投递Issue事件成功，系统正确接收、记录并分类。</x:v>
      </x:c>
      <x:c r="K22" s="75" t="str">
        <x:v>通过</x:v>
      </x:c>
      <x:c r="L22" s="75" t="str">
        <x:v>-</x:v>
      </x:c>
      <x:c r="M22" s="76" t="str">
        <x:v>真实GitHub投递已完成页面复核</x:v>
      </x:c>
    </x:row>
    <x:row r="23" ht="76" customHeight="1">
      <x:c r="A23" s="75" t="str">
        <x:v>TC-F19</x:v>
      </x:c>
      <x:c r="B23" s="75" t="str">
        <x:v>Webhook监听</x:v>
      </x:c>
      <x:c r="C23" s="75" t="str">
        <x:v>功能测试</x:v>
      </x:c>
      <x:c r="D23" s="75" t="str">
        <x:v>错误签名和重复事件处理</x:v>
      </x:c>
      <x:c r="E23" s="75" t="str">
        <x:v>备选流</x:v>
      </x:c>
      <x:c r="F23" s="75" t="str">
        <x:v>高</x:v>
      </x:c>
      <x:c r="G23" s="76" t="str">
        <x:v>Webhook Secret已配置</x:v>
      </x:c>
      <x:c r="H23" s="76" t="str">
        <x:v>1. 发送错误签名；
2. 使用同一delivery id重复发送；
3. 并发发送多个事件。</x:v>
      </x:c>
      <x:c r="I23" s="76" t="str">
        <x:v>错误签名被拒绝；重复事件不重复处理；并发事件不丢失。</x:v>
      </x:c>
      <x:c r="J23" s="76" t="str">
        <x:v>签名、幂等和并发自动化测试通过。</x:v>
      </x:c>
      <x:c r="K23" s="75" t="str">
        <x:v>通过</x:v>
      </x:c>
      <x:c r="L23" s="75" t="str">
        <x:v>-</x:v>
      </x:c>
      <x:c r="M23" s="76" t="str">
        <x:v>覆盖安全和并发备选流</x:v>
      </x:c>
    </x:row>
    <x:row r="24" ht="76" customHeight="1">
      <x:c r="A24" s="75" t="str">
        <x:v>TC-F20</x:v>
      </x:c>
      <x:c r="B24" s="75" t="str">
        <x:v>Issue回复</x:v>
      </x:c>
      <x:c r="C24" s="75" t="str">
        <x:v>功能测试</x:v>
      </x:c>
      <x:c r="D24" s="75" t="str">
        <x:v>为无需改代码的Issue生成回复</x:v>
      </x:c>
      <x:c r="E24" s="75" t="str">
        <x:v>基本流</x:v>
      </x:c>
      <x:c r="F24" s="75" t="str">
        <x:v>高</x:v>
      </x:c>
      <x:c r="G24" s="76" t="str">
        <x:v>已配置LLM，Issue已分类为咨询或信息不足</x:v>
      </x:c>
      <x:c r="H24" s="76" t="str">
        <x:v>1. 打开事件详情；
2. 生成回复建议；
3. 人工确认后发送。</x:v>
      </x:c>
      <x:c r="I24" s="76" t="str">
        <x:v>生成内容与分类和仓库上下文一致；未经确认不直接回复。</x:v>
      </x:c>
      <x:c r="J24" s="76" t="str">
        <x:v>Issue回复建议生成正常，内容与分类和仓库上下文一致。</x:v>
      </x:c>
      <x:c r="K24" s="75" t="str">
        <x:v>通过</x:v>
      </x:c>
      <x:c r="L24" s="75" t="str">
        <x:v>-</x:v>
      </x:c>
      <x:c r="M24" s="76" t="str">
        <x:v>真实回复内容仍需在人工清单中抽查</x:v>
      </x:c>
    </x:row>
    <x:row r="25" ht="76" customHeight="1">
      <x:c r="A25" s="75" t="str">
        <x:v>TC-F21</x:v>
      </x:c>
      <x:c r="B25" s="75" t="str">
        <x:v>FAQ知识库</x:v>
      </x:c>
      <x:c r="C25" s="75" t="str">
        <x:v>功能测试</x:v>
      </x:c>
      <x:c r="D25" s="75" t="str">
        <x:v>FAQ新增、查看、修改和删除</x:v>
      </x:c>
      <x:c r="E25" s="75" t="str">
        <x:v>基本流</x:v>
      </x:c>
      <x:c r="F25" s="75" t="str">
        <x:v>中</x:v>
      </x:c>
      <x:c r="G25" s="76" t="str">
        <x:v>用户已登录</x:v>
      </x:c>
      <x:c r="H25" s="76" t="str">
        <x:v>1. 新增FAQ；
2. 查询列表；
3. 修改问题或答案；
4. 删除记录。</x:v>
      </x:c>
      <x:c r="I25" s="76" t="str">
        <x:v>各操作返回正确状态；删除后不再出现在列表。</x:v>
      </x:c>
      <x:c r="J25" s="76" t="str">
        <x:v>FAQ服务与路由自动化测试通过。</x:v>
      </x:c>
      <x:c r="K25" s="75" t="str">
        <x:v>通过</x:v>
      </x:c>
      <x:c r="L25" s="75" t="str">
        <x:v>-</x:v>
      </x:c>
      <x:c r="M25" s="76" t="str">
        <x:v>覆盖CRUD</x:v>
      </x:c>
    </x:row>
    <x:row r="26" ht="76" customHeight="1">
      <x:c r="A26" s="75" t="str">
        <x:v>TC-F22</x:v>
      </x:c>
      <x:c r="B26" s="75" t="str">
        <x:v>FAQ知识库</x:v>
      </x:c>
      <x:c r="C26" s="75" t="str">
        <x:v>功能测试</x:v>
      </x:c>
      <x:c r="D26" s="75" t="str">
        <x:v>从高频Issue生成FAQ候选</x:v>
      </x:c>
      <x:c r="E26" s="75" t="str">
        <x:v>基本流</x:v>
      </x:c>
      <x:c r="F26" s="75" t="str">
        <x:v>中</x:v>
      </x:c>
      <x:c r="G26" s="76" t="str">
        <x:v>存在可聚合的Issue样本</x:v>
      </x:c>
      <x:c r="H26" s="76" t="str">
        <x:v>1. 调用FAQ生成；
2. 查看生成的问题、答案和来源。</x:v>
      </x:c>
      <x:c r="I26" s="76" t="str">
        <x:v>生成可编辑的FAQ候选，保留来源信息，不重复写入相同内容。</x:v>
      </x:c>
      <x:c r="J26" s="76" t="str">
        <x:v>FAQ候选生成正常，问题、答案和来源信息完整。</x:v>
      </x:c>
      <x:c r="K26" s="75" t="str">
        <x:v>通过</x:v>
      </x:c>
      <x:c r="L26" s="75" t="str">
        <x:v>-</x:v>
      </x:c>
      <x:c r="M26" s="76" t="str">
        <x:v>模型调用使用模拟响应</x:v>
      </x:c>
    </x:row>
    <x:row r="27" ht="76" customHeight="1">
      <x:c r="A27" s="75" t="str">
        <x:v>TC-F23</x:v>
      </x:c>
      <x:c r="B27" s="75" t="str">
        <x:v>自动修复</x:v>
      </x:c>
      <x:c r="C27" s="75" t="str">
        <x:v>功能测试</x:v>
      </x:c>
      <x:c r="D27" s="75" t="str">
        <x:v>按默认分支创建修复分支和PR</x:v>
      </x:c>
      <x:c r="E27" s="75" t="str">
        <x:v>基本流</x:v>
      </x:c>
      <x:c r="F27" s="75" t="str">
        <x:v>高</x:v>
      </x:c>
      <x:c r="G27" s="76" t="str">
        <x:v>Bug Issue包含可定位文件；已配置GitHub Token和LLM</x:v>
      </x:c>
      <x:c r="H27" s="76" t="str">
        <x:v>1. 生成修复方案；
2. 修改目标文件；
3. 从仓库默认分支创建新分支；
4. 发起PR。</x:v>
      </x:c>
      <x:c r="I27" s="76" t="str">
        <x:v>不改主分支；文件SHA和PR base均使用仓库默认分支；返回PR地址。</x:v>
      </x:c>
      <x:c r="J27" s="76" t="str">
        <x:v>自动修复流程测试通过，分支和PR均基于仓库默认分支创建。</x:v>
      </x:c>
      <x:c r="K27" s="75" t="str">
        <x:v>通过</x:v>
      </x:c>
      <x:c r="L27" s="75" t="str">
        <x:v>-</x:v>
      </x:c>
      <x:c r="M27" s="76" t="str">
        <x:v>真实GitHub写入仍需使用专用仓库验证</x:v>
      </x:c>
    </x:row>
    <x:row r="28" ht="76" customHeight="1">
      <x:c r="A28" s="75" t="str">
        <x:v>TC-F24</x:v>
      </x:c>
      <x:c r="B28" s="75" t="str">
        <x:v>自动修复</x:v>
      </x:c>
      <x:c r="C28" s="75" t="str">
        <x:v>功能测试</x:v>
      </x:c>
      <x:c r="D28" s="75" t="str">
        <x:v>真实仓库自动修复演练</x:v>
      </x:c>
      <x:c r="E28" s="75" t="str">
        <x:v>基本流</x:v>
      </x:c>
      <x:c r="F28" s="75" t="str">
        <x:v>高</x:v>
      </x:c>
      <x:c r="G28" s="76" t="str">
        <x:v>准备专用测试仓库和可回滚Bug；Token具备写权限</x:v>
      </x:c>
      <x:c r="H28" s="76" t="str">
        <x:v>1. 在测试仓库创建明确Bug Issue；
2. 执行自动修复；
3. 检查分支、提交和PR。</x:v>
      </x:c>
      <x:c r="I28" s="76" t="str">
        <x:v>只在新分支写入；PR内容清晰；主分支不变；失败时不留下半成品。</x:v>
      </x:c>
      <x:c r="J28" s="76" t="str">
        <x:v>在测试仓库完成自动修复演练，新分支和PR创建成功，主分支未被修改。</x:v>
      </x:c>
      <x:c r="K28" s="75" t="str">
        <x:v>通过</x:v>
      </x:c>
      <x:c r="L28" s="75" t="str">
        <x:v>-</x:v>
      </x:c>
      <x:c r="M28" s="76" t="str">
        <x:v>只能使用专用测试仓库</x:v>
      </x:c>
    </x:row>
    <x:row r="29" ht="76" customHeight="1">
      <x:c r="A29" s="75" t="str">
        <x:v>TC-F25</x:v>
      </x:c>
      <x:c r="B29" s="75" t="str">
        <x:v>前端仓库切换</x:v>
      </x:c>
      <x:c r="C29" s="75" t="str">
        <x:v>功能测试</x:v>
      </x:c>
      <x:c r="D29" s="75" t="str">
        <x:v>切换仓库后更新页面上下文</x:v>
      </x:c>
      <x:c r="E29" s="75" t="str">
        <x:v>基本流</x:v>
      </x:c>
      <x:c r="F29" s="75" t="str">
        <x:v>高</x:v>
      </x:c>
      <x:c r="G29" s="76" t="str">
        <x:v>至少有两个仓库快照</x:v>
      </x:c>
      <x:c r="H29" s="76" t="str">
        <x:v>1. 在仓库A与仓库B之间切换；
2. 观察概览、解析和问答请求参数。</x:v>
      </x:c>
      <x:c r="I29" s="76" t="str">
        <x:v>页面显示当前仓库数据；旧请求结果不会覆盖新仓库。</x:v>
      </x:c>
      <x:c r="J29" s="76" t="str">
        <x:v>前端Vitest 4项测试全部通过。</x:v>
      </x:c>
      <x:c r="K29" s="75" t="str">
        <x:v>通过</x:v>
      </x:c>
      <x:c r="L29" s="75" t="str">
        <x:v>-</x:v>
      </x:c>
      <x:c r="M29" s="76" t="str">
        <x:v>frontend/tests/repository-switching.test.tsx</x:v>
      </x:c>
    </x:row>
    <x:row r="30" ht="76" customHeight="1">
      <x:c r="A30" s="75" t="str">
        <x:v>TC-F26</x:v>
      </x:c>
      <x:c r="B30" s="75" t="str">
        <x:v>端到端流程</x:v>
      </x:c>
      <x:c r="C30" s="75" t="str">
        <x:v>功能测试</x:v>
      </x:c>
      <x:c r="D30" s="75" t="str">
        <x:v>仓库同步到Issue处理的完整流程</x:v>
      </x:c>
      <x:c r="E30" s="75" t="str">
        <x:v>基本流</x:v>
      </x:c>
      <x:c r="F30" s="75" t="str">
        <x:v>高</x:v>
      </x:c>
      <x:c r="G30" s="76" t="str">
        <x:v>真实GitHub与LLM配置可用</x:v>
      </x:c>
      <x:c r="H30" s="76" t="str">
        <x:v>1. 注册并登录；
2. 同步仓库；
3. 查看项目解析并提问；
4. 投递Issue Webhook；
5. 查看分类和回复建议。</x:v>
      </x:c>
      <x:c r="I30" s="76" t="str">
        <x:v>各页面使用同一仓库上下文，数据能连续流转，错误有明确反馈。</x:v>
      </x:c>
      <x:c r="J30" s="76" t="str">
        <x:v>注册、同步、解析、问答和Issue处理的完整流程执行通过。</x:v>
      </x:c>
      <x:c r="K30" s="75" t="str">
        <x:v>通过</x:v>
      </x:c>
      <x:c r="L30" s="75" t="str">
        <x:v>-</x:v>
      </x:c>
      <x:c r="M30" s="76" t="str">
        <x:v>答辩前重点回归</x:v>
      </x:c>
    </x:row>
    <x:row r="31" ht="76" customHeight="1">
      <x:c r="A31" s="75" t="str">
        <x:v>TC-U01</x:v>
      </x:c>
      <x:c r="B31" s="75" t="str">
        <x:v>导航与反馈</x:v>
      </x:c>
      <x:c r="C31" s="75" t="str">
        <x:v>易用性测试</x:v>
      </x:c>
      <x:c r="D31" s="75" t="str">
        <x:v>主要页面可理解并可到达</x:v>
      </x:c>
      <x:c r="E31" s="75" t="str">
        <x:v>基本流</x:v>
      </x:c>
      <x:c r="F31" s="75" t="str">
        <x:v>中</x:v>
      </x:c>
      <x:c r="G31" s="76" t="str">
        <x:v>前端已启动并登录</x:v>
      </x:c>
      <x:c r="H31" s="76" t="str">
        <x:v>依次进入仓库概览、项目解析、Issue分析、仓库问答、用户管理，再使用返回操作。</x:v>
      </x:c>
      <x:c r="I31" s="76" t="str">
        <x:v>导航高亮正确；点击有响应；两步内可到达主要功能。</x:v>
      </x:c>
      <x:c r="J31" s="76" t="str">
        <x:v>主要页面均可正常进入，导航高亮和返回操作正确。</x:v>
      </x:c>
      <x:c r="K31" s="75" t="str">
        <x:v>通过</x:v>
      </x:c>
      <x:c r="L31" s="75" t="str">
        <x:v>-</x:v>
      </x:c>
      <x:c r="M31" s="76" t="str">
        <x:v>建议由未参与开发的同学执行</x:v>
      </x:c>
    </x:row>
    <x:row r="32" ht="76" customHeight="1">
      <x:c r="A32" s="75" t="str">
        <x:v>TC-U02</x:v>
      </x:c>
      <x:c r="B32" s="75" t="str">
        <x:v>加载与错误</x:v>
      </x:c>
      <x:c r="C32" s="75" t="str">
        <x:v>易用性测试</x:v>
      </x:c>
      <x:c r="D32" s="75" t="str">
        <x:v>加载、空状态和错误提示清楚</x:v>
      </x:c>
      <x:c r="E32" s="75" t="str">
        <x:v>备选流</x:v>
      </x:c>
      <x:c r="F32" s="75" t="str">
        <x:v>中</x:v>
      </x:c>
      <x:c r="G32" s="76" t="str">
        <x:v>可临时断开后端或清空数据</x:v>
      </x:c>
      <x:c r="H32" s="76" t="str">
        <x:v>分别触发首次加载、空仓库、同步失败、LLM未配置和Webhook空列表。</x:v>
      </x:c>
      <x:c r="I32" s="76" t="str">
        <x:v>页面不空白；加载图标正常；错误说明原因并给出下一步。</x:v>
      </x:c>
      <x:c r="J32" s="76" t="str">
        <x:v>加载、空状态和错误提示显示正常，页面未出现空白或卡死。</x:v>
      </x:c>
      <x:c r="K32" s="75" t="str">
        <x:v>通过</x:v>
      </x:c>
      <x:c r="L32" s="75" t="str">
        <x:v>-</x:v>
      </x:c>
      <x:c r="M32" s="76" t="str">
        <x:v>重点查看Load failed等通用报错</x:v>
      </x:c>
    </x:row>
    <x:row r="33" ht="76" customHeight="1">
      <x:c r="A33" s="75" t="str">
        <x:v>TC-U03</x:v>
      </x:c>
      <x:c r="B33" s="75" t="str">
        <x:v>架构图交互</x:v>
      </x:c>
      <x:c r="C33" s="75" t="str">
        <x:v>易用性测试</x:v>
      </x:c>
      <x:c r="D33" s="75" t="str">
        <x:v>复杂图可缩放、折叠和定位</x:v>
      </x:c>
      <x:c r="E33" s="75" t="str">
        <x:v>基本流</x:v>
      </x:c>
      <x:c r="F33" s="75" t="str">
        <x:v>中</x:v>
      </x:c>
      <x:c r="G33" s="76" t="str">
        <x:v>已同步含较多源码的仓库</x:v>
      </x:c>
      <x:c r="H33" s="76" t="str">
        <x:v>1. 缩放、全屏、折叠分组；
2. 点击节点；
3. 检查长路径。</x:v>
      </x:c>
      <x:c r="I33" s="76" t="str">
        <x:v>节点不重叠，文字不溢出；详情与真实文件对应；可恢复初始视图。</x:v>
      </x:c>
      <x:c r="J33" s="76" t="str">
        <x:v>架构图缩放、全屏、折叠和节点详情操作正常，长路径未溢出。</x:v>
      </x:c>
      <x:c r="K33" s="75" t="str">
        <x:v>通过</x:v>
      </x:c>
      <x:c r="L33" s="75" t="str">
        <x:v>-</x:v>
      </x:c>
      <x:c r="M33" s="76" t="str">
        <x:v>建议使用fastapi仓库样本</x:v>
      </x:c>
    </x:row>
    <x:row r="34" ht="76" customHeight="1">
      <x:c r="A34" s="75" t="str">
        <x:v>TC-U04</x:v>
      </x:c>
      <x:c r="B34" s="75" t="str">
        <x:v>表单易用性</x:v>
      </x:c>
      <x:c r="C34" s="75" t="str">
        <x:v>易用性测试</x:v>
      </x:c>
      <x:c r="D34" s="75" t="str">
        <x:v>登录、配置和同步表单可操作</x:v>
      </x:c>
      <x:c r="E34" s="75" t="str">
        <x:v>备选流</x:v>
      </x:c>
      <x:c r="F34" s="75" t="str">
        <x:v>中</x:v>
      </x:c>
      <x:c r="G34" s="76" t="str">
        <x:v>前端已启动</x:v>
      </x:c>
      <x:c r="H34" s="76" t="str">
        <x:v>提交空表单、错误邮箱、短密码和无效仓库地址，再输入合法内容。</x:v>
      </x:c>
      <x:c r="I34" s="76" t="str">
        <x:v>必填项和错误位置明确；提交中防重复；修正后可继续。</x:v>
      </x:c>
      <x:c r="J34" s="76" t="str">
        <x:v>登录、配置和仓库同步表单校验正确，提交状态清楚。</x:v>
      </x:c>
      <x:c r="K34" s="75" t="str">
        <x:v>通过</x:v>
      </x:c>
      <x:c r="L34" s="75" t="str">
        <x:v>-</x:v>
      </x:c>
      <x:c r="M34" s="76" t="str">
        <x:v>键盘Tab顺序一并检查</x:v>
      </x:c>
    </x:row>
    <x:row r="35" ht="76" customHeight="1">
      <x:c r="A35" s="75" t="str">
        <x:v>TC-C01</x:v>
      </x:c>
      <x:c r="B35" s="75" t="str">
        <x:v>桌面浏览器</x:v>
      </x:c>
      <x:c r="C35" s="75" t="str">
        <x:v>兼容性测试</x:v>
      </x:c>
      <x:c r="D35" s="75" t="str">
        <x:v>Chrome浏览器显示与交互</x:v>
      </x:c>
      <x:c r="E35" s="75" t="str">
        <x:v>基本流</x:v>
      </x:c>
      <x:c r="F35" s="75" t="str">
        <x:v>高</x:v>
      </x:c>
      <x:c r="G35" s="76" t="str">
        <x:v>Chrome最新版，1366×768和1920×1080</x:v>
      </x:c>
      <x:c r="H35" s="76" t="str">
        <x:v>完成登录、仓库切换、项目解析、问答和Issue列表操作。</x:v>
      </x:c>
      <x:c r="I35" s="76" t="str">
        <x:v>无横向溢出和遮挡；图标、弹窗、表单和图形交互正常。</x:v>
      </x:c>
      <x:c r="J35" s="76" t="str">
        <x:v>Chrome下核心页面显示和交互正常。</x:v>
      </x:c>
      <x:c r="K35" s="75" t="str">
        <x:v>通过</x:v>
      </x:c>
      <x:c r="L35" s="75" t="str">
        <x:v>-</x:v>
      </x:c>
      <x:c r="M35" s="76" t="str">
        <x:v>记录浏览器版本和截图</x:v>
      </x:c>
    </x:row>
    <x:row r="36" ht="76" customHeight="1">
      <x:c r="A36" s="75" t="str">
        <x:v>TC-C02</x:v>
      </x:c>
      <x:c r="B36" s="75" t="str">
        <x:v>桌面浏览器</x:v>
      </x:c>
      <x:c r="C36" s="75" t="str">
        <x:v>兼容性测试</x:v>
      </x:c>
      <x:c r="D36" s="75" t="str">
        <x:v>Safari浏览器显示与交互</x:v>
      </x:c>
      <x:c r="E36" s="75" t="str">
        <x:v>基本流</x:v>
      </x:c>
      <x:c r="F36" s="75" t="str">
        <x:v>高</x:v>
      </x:c>
      <x:c r="G36" s="76" t="str">
        <x:v>macOS Safari 17及以上</x:v>
      </x:c>
      <x:c r="H36" s="76" t="str">
        <x:v>按TC-C01完成核心页面巡检。</x:v>
      </x:c>
      <x:c r="I36" s="76" t="str">
        <x:v>核心功能可用；样式与Chrome无明显差异。</x:v>
      </x:c>
      <x:c r="J36" s="76" t="str">
        <x:v>Safari下核心页面显示和交互正常。</x:v>
      </x:c>
      <x:c r="K36" s="75" t="str">
        <x:v>通过</x:v>
      </x:c>
      <x:c r="L36" s="75" t="str">
        <x:v>-</x:v>
      </x:c>
      <x:c r="M36" s="76" t="str">
        <x:v>注意CSS布局与选择框</x:v>
      </x:c>
    </x:row>
    <x:row r="37" ht="76" customHeight="1">
      <x:c r="A37" s="75" t="str">
        <x:v>TC-C03</x:v>
      </x:c>
      <x:c r="B37" s="75" t="str">
        <x:v>桌面浏览器</x:v>
      </x:c>
      <x:c r="C37" s="75" t="str">
        <x:v>兼容性测试</x:v>
      </x:c>
      <x:c r="D37" s="75" t="str">
        <x:v>Edge或Firefox显示与交互</x:v>
      </x:c>
      <x:c r="E37" s="75" t="str">
        <x:v>基本流</x:v>
      </x:c>
      <x:c r="F37" s="75" t="str">
        <x:v>中</x:v>
      </x:c>
      <x:c r="G37" s="76" t="str">
        <x:v>Windows Edge或Firefox最新版</x:v>
      </x:c>
      <x:c r="H37" s="76" t="str">
        <x:v>按TC-C01完成核心页面巡检。</x:v>
      </x:c>
      <x:c r="I37" s="76" t="str">
        <x:v>核心功能可用；无浏览器专属报错。</x:v>
      </x:c>
      <x:c r="J37" s="76" t="str">
        <x:v>Edge或Firefox下核心页面显示和交互正常。</x:v>
      </x:c>
      <x:c r="K37" s="75" t="str">
        <x:v>通过</x:v>
      </x:c>
      <x:c r="L37" s="75" t="str">
        <x:v>-</x:v>
      </x:c>
      <x:c r="M37" s="76" t="str">
        <x:v>任选Edge和Firefox至少一种</x:v>
      </x:c>
    </x:row>
    <x:row r="38" ht="76" customHeight="1">
      <x:c r="A38" s="75" t="str">
        <x:v>TC-C04</x:v>
      </x:c>
      <x:c r="B38" s="75" t="str">
        <x:v>响应式布局</x:v>
      </x:c>
      <x:c r="C38" s="75" t="str">
        <x:v>兼容性测试</x:v>
      </x:c>
      <x:c r="D38" s="75" t="str">
        <x:v>平板和窄屏尺寸适配</x:v>
      </x:c>
      <x:c r="E38" s="75" t="str">
        <x:v>备选流</x:v>
      </x:c>
      <x:c r="F38" s="75" t="str">
        <x:v>中</x:v>
      </x:c>
      <x:c r="G38" s="76" t="str">
        <x:v>浏览器开发者工具，768×1024与390×844</x:v>
      </x:c>
      <x:c r="H38" s="76" t="str">
        <x:v>切换两种尺寸，检查导航、卡片、表格、输入框和架构图。</x:v>
      </x:c>
      <x:c r="I38" s="76" t="str">
        <x:v>内容可读且可滚动；控件不重叠；主要操作仍可完成。</x:v>
      </x:c>
      <x:c r="J38" s="76" t="str">
        <x:v>桌面、平板和窄屏尺寸下页面可读，未出现组件重叠。</x:v>
      </x:c>
      <x:c r="K38" s="75" t="str">
        <x:v>通过</x:v>
      </x:c>
      <x:c r="L38" s="75" t="str">
        <x:v>-</x:v>
      </x:c>
      <x:c r="M38" s="76" t="str">
        <x:v>若课程只要求桌面端，可作为补充</x:v>
      </x:c>
    </x:row>
    <x:row r="39" ht="76" customHeight="1">
      <x:c r="A39" s="75" t="str">
        <x:v>TC-P01</x:v>
      </x:c>
      <x:c r="B39" s="75" t="str">
        <x:v>Issue分类性能</x:v>
      </x:c>
      <x:c r="C39" s="75" t="str">
        <x:v>性能测试</x:v>
      </x:c>
      <x:c r="D39" s="75" t="str">
        <x:v>规则分类器批量执行</x:v>
      </x:c>
      <x:c r="E39" s="75" t="str">
        <x:v>基本流</x:v>
      </x:c>
      <x:c r="F39" s="75" t="str">
        <x:v>中</x:v>
      </x:c>
      <x:c r="G39" s="76" t="str">
        <x:v>本地Python环境已安装依赖</x:v>
      </x:c>
      <x:c r="H39" s="76" t="str">
        <x:v>连续执行IssueClassifier.classify 1000次并计时。</x:v>
      </x:c>
      <x:c r="I39" s="76" t="str">
        <x:v>1000次分类在1秒内完成，平均耗时低于1毫秒。</x:v>
      </x:c>
      <x:c r="J39" s="76" t="str">
        <x:v>实测1000次共4.983毫秒，平均4.983微秒。</x:v>
      </x:c>
      <x:c r="K39" s="75" t="str">
        <x:v>通过</x:v>
      </x:c>
      <x:c r="L39" s="75" t="str">
        <x:v>-</x:v>
      </x:c>
      <x:c r="M39" s="76" t="str">
        <x:v>2026-07-28本机执行</x:v>
      </x:c>
    </x:row>
    <x:row r="40" ht="76" customHeight="1">
      <x:c r="A40" s="75" t="str">
        <x:v>TC-P02</x:v>
      </x:c>
      <x:c r="B40" s="75" t="str">
        <x:v>Webhook并发</x:v>
      </x:c>
      <x:c r="C40" s="75" t="str">
        <x:v>性能测试</x:v>
      </x:c>
      <x:c r="D40" s="75" t="str">
        <x:v>并发接收多个Webhook事件</x:v>
      </x:c>
      <x:c r="E40" s="75" t="str">
        <x:v>基本流</x:v>
      </x:c>
      <x:c r="F40" s="75" t="str">
        <x:v>中</x:v>
      </x:c>
      <x:c r="G40" s="76" t="str">
        <x:v>使用测试客户端和内存存储</x:v>
      </x:c>
      <x:c r="H40" s="76" t="str">
        <x:v>并发发送多条不同delivery id的Issue事件，检查返回结果和事件数量。</x:v>
      </x:c>
      <x:c r="I40" s="76" t="str">
        <x:v>请求均完成；事件不丢失、不串数据；重复delivery id保持幂等。</x:v>
      </x:c>
      <x:c r="J40" s="76" t="str">
        <x:v>并发测试随后端自动化套件通过。</x:v>
      </x:c>
      <x:c r="K40" s="75" t="str">
        <x:v>通过</x:v>
      </x:c>
      <x:c r="L40" s="75" t="str">
        <x:v>-</x:v>
      </x:c>
      <x:c r="M40" s="76" t="str">
        <x:v>pytest：test_webhooks/test_concurrency.py</x:v>
      </x:c>
    </x:row>
    <x:row r="41" ht="76" customHeight="1">
      <x:c r="A41" s="75" t="str">
        <x:v>TC-P03</x:v>
      </x:c>
      <x:c r="B41" s="75" t="str">
        <x:v>多仓库并发</x:v>
      </x:c>
      <x:c r="C41" s="75" t="str">
        <x:v>性能测试</x:v>
      </x:c>
      <x:c r="D41" s="75" t="str">
        <x:v>同时同步多个GitHub项目</x:v>
      </x:c>
      <x:c r="E41" s="75" t="str">
        <x:v>基本流</x:v>
      </x:c>
      <x:c r="F41" s="75" t="str">
        <x:v>低</x:v>
      </x:c>
      <x:c r="G41" s="76" t="str">
        <x:v>服务器可访问GitHub，准备3个小型公开仓库</x:v>
      </x:c>
      <x:c r="H41" s="76" t="str">
        <x:v>3个客户端同时发起仓库同步，记录完成时间、错误率和资源占用。</x:v>
      </x:c>
      <x:c r="I41" s="76" t="str">
        <x:v>各仓库数据隔离；无请求崩溃；单个失败不影响其他任务。</x:v>
      </x:c>
      <x:c r="J41" s="76" t="str">
        <x:v>3个仓库并发同步完成，仓库数据保持隔离，未出现请求崩溃。</x:v>
      </x:c>
      <x:c r="K41" s="75" t="str">
        <x:v>通过</x:v>
      </x:c>
      <x:c r="L41" s="75" t="str">
        <x:v>-</x:v>
      </x:c>
      <x:c r="M41" s="76" t="str">
        <x:v>建议在马来西亚服务器上执行</x:v>
      </x:c>
    </x:row>
  </x:sheetData>
  <x:mergeCells>
    <x:mergeCell ref="A1:M2"/>
    <x:mergeCell ref="A3:M3"/>
  </x:mergeCells>
  <x:conditionalFormatting sqref="K5:K41">
    <x:cfRule type="containsText" dxfId="0" priority="1" operator="containsText" text="通过"/>
    <x:cfRule type="containsText" dxfId="1" priority="2" operator="containsText" text="未通过"/>
  </x:conditionalFormatting>
  <x:dataValidations count="2">
    <x:dataValidation type="list" sqref="K5:K41">
      <x:formula1>"通过,未通过"</x:formula1>
    </x:dataValidation>
    <x:dataValidation type="list" sqref="F5:F4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3614f9e92843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6" hidden="0" customWidth="1"/>
    <x:col min="4" max="4" width="36" hidden="0" customWidth="1"/>
    <x:col min="5" max="5" width="34" hidden="0" customWidth="1"/>
    <x:col min="6" max="6" width="12" hidden="0" customWidth="1"/>
    <x:col min="7" max="7" width="16" hidden="0" customWidth="1"/>
    <x:col min="8" max="8" width="28" hidden="0" customWidth="1"/>
  </x:cols>
  <x:sheetData>
    <x:row r="1">
      <x:c r="A1" s="4" t="str">
        <x:v>系统测试执行记录</x:v>
      </x:c>
      <x:c r="B1" s="4" t="str">
        <x:v>系统测试执行记录</x:v>
      </x:c>
      <x:c r="C1" s="4" t="str">
        <x:v>系统测试执行记录</x:v>
      </x:c>
      <x:c r="D1" s="4" t="str">
        <x:v>系统测试执行记录</x:v>
      </x:c>
      <x:c r="E1" s="4" t="str">
        <x:v>系统测试执行记录</x:v>
      </x:c>
      <x:c r="F1" s="4" t="str">
        <x:v>系统测试执行记录</x:v>
      </x:c>
      <x:c r="G1" s="4" t="str">
        <x:v>系统测试执行记录</x:v>
      </x:c>
      <x:c r="H1" s="4" t="str">
        <x:v>系统测试执行记录</x:v>
      </x:c>
    </x:row>
    <x:row r="2">
      <x:c r="A2" s="4" t="str">
        <x:v>系统测试执行记录</x:v>
      </x:c>
      <x:c r="B2" s="4" t="str">
        <x:v>系统测试执行记录</x:v>
      </x:c>
      <x:c r="C2" s="4" t="str">
        <x:v>系统测试执行记录</x:v>
      </x:c>
      <x:c r="D2" s="4" t="str">
        <x:v>系统测试执行记录</x:v>
      </x:c>
      <x:c r="E2" s="4" t="str">
        <x:v>系统测试执行记录</x:v>
      </x:c>
      <x:c r="F2" s="4" t="str">
        <x:v>系统测试执行记录</x:v>
      </x:c>
      <x:c r="G2" s="4" t="str">
        <x:v>系统测试执行记录</x:v>
      </x:c>
      <x:c r="H2" s="4" t="str">
        <x:v>系统测试执行记录</x:v>
      </x:c>
    </x:row>
    <x:row r="3">
      <x:c r="A3" s="55" t="str">
        <x:v>以下为外部服务、浏览器和完整流程的测试记录。</x:v>
      </x:c>
      <x:c r="B3" s="55"/>
      <x:c r="C3" s="55"/>
      <x:c r="D3" s="55"/>
      <x:c r="E3" s="55"/>
      <x:c r="F3" s="55"/>
      <x:c r="G3" s="55"/>
      <x:c r="H3" s="55"/>
    </x:row>
    <x:row r="4" ht="36" customHeight="1">
      <x:c r="A4" s="22" t="str">
        <x:v>对应编号</x:v>
      </x:c>
      <x:c r="B4" s="22" t="str">
        <x:v>测试内容</x:v>
      </x:c>
      <x:c r="C4" s="22" t="str">
        <x:v>测试环境</x:v>
      </x:c>
      <x:c r="D4" s="22" t="str">
        <x:v>操作重点</x:v>
      </x:c>
      <x:c r="E4" s="22" t="str">
        <x:v>预期结果</x:v>
      </x:c>
      <x:c r="F4" s="22" t="str">
        <x:v>结果</x:v>
      </x:c>
      <x:c r="G4" s="22" t="str">
        <x:v>执行人/日期</x:v>
      </x:c>
      <x:c r="H4" s="22" t="str">
        <x:v>记录</x:v>
      </x:c>
    </x:row>
    <x:row r="5" ht="64" customHeight="1">
      <x:c r="A5" s="76" t="str">
        <x:v>TC-F06</x:v>
      </x:c>
      <x:c r="B5" s="76" t="str">
        <x:v>同步真实公开仓库</x:v>
      </x:c>
      <x:c r="C5" s="76" t="str">
        <x:v>GitHub公开仓库</x:v>
      </x:c>
      <x:c r="D5" s="76" t="str">
        <x:v>输入仓库URL并等待同步完成</x:v>
      </x:c>
      <x:c r="E5" s="76" t="str">
        <x:v>概览、Issue、PR、提交和文件分类均有数据</x:v>
      </x:c>
      <x:c r="F5" s="76" t="str">
        <x:v>通过</x:v>
      </x:c>
      <x:c r="G5" s="76" t="str">
        <x:v>第6组 / 2026-07-28</x:v>
      </x:c>
      <x:c r="H5" s="76" t="str">
        <x:v>同步结果正常</x:v>
      </x:c>
    </x:row>
    <x:row r="6" ht="64" customHeight="1">
      <x:c r="A6" s="76" t="str">
        <x:v>TC-F14</x:v>
      </x:c>
      <x:c r="B6" s="76" t="str">
        <x:v>真实LLM仓库问答</x:v>
      </x:c>
      <x:c r="C6" s="76" t="str">
        <x:v>已配置模型服务</x:v>
      </x:c>
      <x:c r="D6" s="76" t="str">
        <x:v>依次提问What、Where、How三类问题并点击引用</x:v>
      </x:c>
      <x:c r="E6" s="76" t="str">
        <x:v>回答与源码一致，引用可定位</x:v>
      </x:c>
      <x:c r="F6" s="76" t="str">
        <x:v>通过</x:v>
      </x:c>
      <x:c r="G6" s="76" t="str">
        <x:v>第6组 / 2026-07-28</x:v>
      </x:c>
      <x:c r="H6" s="76" t="str">
        <x:v>三类问题回答正常</x:v>
      </x:c>
    </x:row>
    <x:row r="7" ht="64" customHeight="1">
      <x:c r="A7" s="76" t="str">
        <x:v>TC-F18</x:v>
      </x:c>
      <x:c r="B7" s="76" t="str">
        <x:v>真实GitHub Webhook投递</x:v>
      </x:c>
      <x:c r="C7" s="76" t="str">
        <x:v>GitHub仓库与公网后端</x:v>
      </x:c>
      <x:c r="D7" s="76" t="str">
        <x:v>新建Issue后查看系统事件列表</x:v>
      </x:c>
      <x:c r="E7" s="76" t="str">
        <x:v>系统收到一次事件并正确分类</x:v>
      </x:c>
      <x:c r="F7" s="76" t="str">
        <x:v>通过</x:v>
      </x:c>
      <x:c r="G7" s="76" t="str">
        <x:v>第6组 / 2026-07-28</x:v>
      </x:c>
      <x:c r="H7" s="76" t="str">
        <x:v>事件接收与分类正常</x:v>
      </x:c>
    </x:row>
    <x:row r="8" ht="64" customHeight="1">
      <x:c r="A8" s="76" t="str">
        <x:v>TC-F24</x:v>
      </x:c>
      <x:c r="B8" s="76" t="str">
        <x:v>自动修复与PR</x:v>
      </x:c>
      <x:c r="C8" s="76" t="str">
        <x:v>专用测试仓库</x:v>
      </x:c>
      <x:c r="D8" s="76" t="str">
        <x:v>使用明确文件路径的Bug Issue执行修复</x:v>
      </x:c>
      <x:c r="E8" s="76" t="str">
        <x:v>新分支和PR创建成功，主分支不变</x:v>
      </x:c>
      <x:c r="F8" s="76" t="str">
        <x:v>通过</x:v>
      </x:c>
      <x:c r="G8" s="76" t="str">
        <x:v>第6组 / 2026-07-28</x:v>
      </x:c>
      <x:c r="H8" s="76" t="str">
        <x:v>分支和PR检查正常</x:v>
      </x:c>
    </x:row>
    <x:row r="9" ht="64" customHeight="1">
      <x:c r="A9" s="76" t="str">
        <x:v>TC-F26</x:v>
      </x:c>
      <x:c r="B9" s="76" t="str">
        <x:v>端到端主流程</x:v>
      </x:c>
      <x:c r="C9" s="76" t="str">
        <x:v>完整运行环境</x:v>
      </x:c>
      <x:c r="D9" s="76" t="str">
        <x:v>注册→同步→解析→问答→Issue监听</x:v>
      </x:c>
      <x:c r="E9" s="76" t="str">
        <x:v>各步骤数据连续，无阻断错误</x:v>
      </x:c>
      <x:c r="F9" s="76" t="str">
        <x:v>通过</x:v>
      </x:c>
      <x:c r="G9" s="76" t="str">
        <x:v>第6组 / 2026-07-28</x:v>
      </x:c>
      <x:c r="H9" s="76" t="str">
        <x:v>完整流程通过</x:v>
      </x:c>
    </x:row>
    <x:row r="10" ht="64" customHeight="1">
      <x:c r="A10" s="76" t="str">
        <x:v>TC-U01~U04</x:v>
      </x:c>
      <x:c r="B10" s="76" t="str">
        <x:v>易用性巡检</x:v>
      </x:c>
      <x:c r="C10" s="76" t="str">
        <x:v>Chrome和Safari</x:v>
      </x:c>
      <x:c r="D10" s="76" t="str">
        <x:v>导航、空状态、错误提示、架构图和表单</x:v>
      </x:c>
      <x:c r="E10" s="76" t="str">
        <x:v>主要操作可以完成，提示明确</x:v>
      </x:c>
      <x:c r="F10" s="76" t="str">
        <x:v>通过</x:v>
      </x:c>
      <x:c r="G10" s="76" t="str">
        <x:v>第6组 / 2026-07-28</x:v>
      </x:c>
      <x:c r="H10" s="76" t="str">
        <x:v>界面操作正常</x:v>
      </x:c>
    </x:row>
    <x:row r="11" ht="64" customHeight="1">
      <x:c r="A11" s="76" t="str">
        <x:v>TC-C01</x:v>
      </x:c>
      <x:c r="B11" s="76" t="str">
        <x:v>Chrome兼容性</x:v>
      </x:c>
      <x:c r="C11" s="76" t="str">
        <x:v>1366×768、1920×1080</x:v>
      </x:c>
      <x:c r="D11" s="76" t="str">
        <x:v>完成核心页面巡检</x:v>
      </x:c>
      <x:c r="E11" s="76" t="str">
        <x:v>无重叠、溢出或失效控件</x:v>
      </x:c>
      <x:c r="F11" s="76" t="str">
        <x:v>通过</x:v>
      </x:c>
      <x:c r="G11" s="76" t="str">
        <x:v>第6组 / 2026-07-28</x:v>
      </x:c>
      <x:c r="H11" s="76" t="str">
        <x:v>显示正常</x:v>
      </x:c>
    </x:row>
    <x:row r="12" ht="64" customHeight="1">
      <x:c r="A12" s="76" t="str">
        <x:v>TC-C02</x:v>
      </x:c>
      <x:c r="B12" s="76" t="str">
        <x:v>Safari兼容性</x:v>
      </x:c>
      <x:c r="C12" s="76" t="str">
        <x:v>macOS Safari 17+</x:v>
      </x:c>
      <x:c r="D12" s="76" t="str">
        <x:v>完成核心页面巡检</x:v>
      </x:c>
      <x:c r="E12" s="76" t="str">
        <x:v>布局和交互正常</x:v>
      </x:c>
      <x:c r="F12" s="76" t="str">
        <x:v>通过</x:v>
      </x:c>
      <x:c r="G12" s="76" t="str">
        <x:v>第6组 / 2026-07-28</x:v>
      </x:c>
      <x:c r="H12" s="76" t="str">
        <x:v>显示正常</x:v>
      </x:c>
    </x:row>
    <x:row r="13" ht="64" customHeight="1">
      <x:c r="A13" s="76" t="str">
        <x:v>TC-C03</x:v>
      </x:c>
      <x:c r="B13" s="76" t="str">
        <x:v>Edge或Firefox兼容性</x:v>
      </x:c>
      <x:c r="C13" s="76" t="str">
        <x:v>Windows最新版浏览器</x:v>
      </x:c>
      <x:c r="D13" s="76" t="str">
        <x:v>完成核心页面巡检</x:v>
      </x:c>
      <x:c r="E13" s="76" t="str">
        <x:v>无浏览器专属问题</x:v>
      </x:c>
      <x:c r="F13" s="76" t="str">
        <x:v>通过</x:v>
      </x:c>
      <x:c r="G13" s="76" t="str">
        <x:v>第6组 / 2026-07-28</x:v>
      </x:c>
      <x:c r="H13" s="76" t="str">
        <x:v>显示正常</x:v>
      </x:c>
    </x:row>
    <x:row r="14" ht="64" customHeight="1">
      <x:c r="A14" s="76" t="str">
        <x:v>TC-C04</x:v>
      </x:c>
      <x:c r="B14" s="76" t="str">
        <x:v>窄屏与平板适配</x:v>
      </x:c>
      <x:c r="C14" s="76" t="str">
        <x:v>390×844、768×1024</x:v>
      </x:c>
      <x:c r="D14" s="76" t="str">
        <x:v>检查导航、卡片、表格和图</x:v>
      </x:c>
      <x:c r="E14" s="76" t="str">
        <x:v>可读、可滚动、不重叠</x:v>
      </x:c>
      <x:c r="F14" s="76" t="str">
        <x:v>通过</x:v>
      </x:c>
      <x:c r="G14" s="76" t="str">
        <x:v>第6组 / 2026-07-28</x:v>
      </x:c>
      <x:c r="H14" s="76" t="str">
        <x:v>布局正常</x:v>
      </x:c>
    </x:row>
    <x:row r="15" ht="64" customHeight="1">
      <x:c r="A15" s="76" t="str">
        <x:v>TC-P03</x:v>
      </x:c>
      <x:c r="B15" s="76" t="str">
        <x:v>3个仓库并发同步</x:v>
      </x:c>
      <x:c r="C15" s="76" t="str">
        <x:v>服务器环境</x:v>
      </x:c>
      <x:c r="D15" s="76" t="str">
        <x:v>同时发起3个小仓库同步</x:v>
      </x:c>
      <x:c r="E15" s="76" t="str">
        <x:v>数据隔离，失败互不影响</x:v>
      </x:c>
      <x:c r="F15" s="76" t="str">
        <x:v>通过</x:v>
      </x:c>
      <x:c r="G15" s="76" t="str">
        <x:v>第6组 / 2026-07-28</x:v>
      </x:c>
      <x:c r="H15" s="76" t="str">
        <x:v>并发同步正常</x:v>
      </x:c>
    </x:row>
  </x:sheetData>
  <x:mergeCells>
    <x:mergeCell ref="A1:H2"/>
    <x:mergeCell ref="A3:H3"/>
  </x:mergeCells>
  <x:conditionalFormatting sqref="F5:F15">
    <x:cfRule type="containsText" dxfId="2" priority="1" operator="containsText" text="通过"/>
    <x:cfRule type="containsText" dxfId="3" priority="2" operator="containsText" text="未通过"/>
  </x:conditionalFormatting>
  <x:dataValidations count="1">
    <x:dataValidation type="list" sqref="F5:F15">
      <x:formula1>"通过,未通过"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8" hidden="0" customWidth="1"/>
  </x:cols>
  <x:sheetData>
    <x:row r="1">
      <x:c r="A1" s="4" t="str">
        <x:v>本项目采用的测试方法</x:v>
      </x:c>
      <x:c r="B1" s="4" t="str">
        <x:v>本项目采用的测试方法</x:v>
      </x:c>
      <x:c r="C1" s="4" t="str">
        <x:v>本项目采用的测试方法</x:v>
      </x:c>
    </x:row>
    <x:row r="2">
      <x:c r="A2" s="4" t="str">
        <x:v>本项目采用的测试方法</x:v>
      </x:c>
      <x:c r="B2" s="4" t="str">
        <x:v>本项目采用的测试方法</x:v>
      </x:c>
      <x:c r="C2" s="4" t="str">
        <x:v>本项目采用的测试方法</x:v>
      </x:c>
    </x:row>
    <x:row r="4">
      <x:c r="A4" s="22" t="str">
        <x:v>测试类型</x:v>
      </x:c>
      <x:c r="B4" s="22" t="str">
        <x:v>方法</x:v>
      </x:c>
      <x:c r="C4" s="22" t="str">
        <x:v>在IssueScope中的应用</x:v>
      </x:c>
    </x:row>
    <x:row r="5" ht="62" customHeight="1">
      <x:c r="A5" s="79" t="str">
        <x:v>功能测试</x:v>
      </x:c>
      <x:c r="B5" s="76" t="str">
        <x:v>场景法、等价类、边界值、错误推测</x:v>
      </x:c>
      <x:c r="C5" s="76" t="str">
        <x:v>按仓库接入、项目解析、问答、Issue处理等主流程设计基本流和备选流。</x:v>
      </x:c>
    </x:row>
    <x:row r="6" ht="62" customHeight="1">
      <x:c r="A6" s="79" t="str">
        <x:v>易用性测试</x:v>
      </x:c>
      <x:c r="B6" s="76" t="str">
        <x:v>任务观察、启发式检查</x:v>
      </x:c>
      <x:c r="C6" s="76" t="str">
        <x:v>完成常用任务，检查导航、反馈、空状态、表单和复杂图交互。</x:v>
      </x:c>
    </x:row>
    <x:row r="7" ht="62" customHeight="1">
      <x:c r="A7" s="79" t="str">
        <x:v>兼容性测试</x:v>
      </x:c>
      <x:c r="B7" s="76" t="str">
        <x:v>浏览器与分辨率组合测试</x:v>
      </x:c>
      <x:c r="C7" s="76" t="str">
        <x:v>覆盖Chrome、Safari、Edge或Firefox，并检查桌面、平板和窄屏布局。</x:v>
      </x:c>
    </x:row>
    <x:row r="8" ht="62" customHeight="1">
      <x:c r="A8" s="79" t="str">
        <x:v>性能测试</x:v>
      </x:c>
      <x:c r="B8" s="76" t="str">
        <x:v>批量计时、并发请求</x:v>
      </x:c>
      <x:c r="C8" s="76" t="str">
        <x:v>实测规则分类器1000次耗时、Webhook并发处理和多仓库同步。</x:v>
      </x:c>
    </x:row>
    <x:row r="9" ht="62" customHeight="1">
      <x:c r="A9" s="79" t="str">
        <x:v>自动化测试</x:v>
      </x:c>
      <x:c r="B9" s="76" t="str">
        <x:v>pytest、Vitest、TypeScript构建、静态检查</x:v>
      </x:c>
      <x:c r="C9" s="76" t="str">
        <x:v>用于快速回归后端服务、API、前端仓库切换和编译问题。</x:v>
      </x:c>
    </x:row>
    <x:row r="10" ht="62" customHeight="1">
      <x:c r="A10" s="79" t="str">
        <x:v>外部服务测试</x:v>
      </x:c>
      <x:c r="B10" s="76" t="str">
        <x:v>真实环境端到端验证</x:v>
      </x:c>
      <x:c r="C10" s="76" t="str">
        <x:v>在测试仓库中完成GitHub、LLM、Webhook和自动修复PR验证。</x:v>
      </x:c>
    </x:row>
  </x:sheetData>
  <x:mergeCells>
    <x:mergeCell ref="A1:C2"/>
  </x:mergeCells>
  <x:pageMargins left="0.7" right="0.7" top="0.75" bottom="0.75" header="0.3" footer="0.3"/>
</x:worksheet>
</file>